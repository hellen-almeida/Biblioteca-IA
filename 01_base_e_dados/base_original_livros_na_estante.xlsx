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ellen\Desktop\"/>
    </mc:Choice>
  </mc:AlternateContent>
  <xr:revisionPtr revIDLastSave="0" documentId="13_ncr:1_{7278385F-DC81-48A8-91B9-1F689FC6408B}" xr6:coauthVersionLast="47" xr6:coauthVersionMax="47" xr10:uidLastSave="{00000000-0000-0000-0000-000000000000}"/>
  <bookViews>
    <workbookView xWindow="-108" yWindow="-108" windowWidth="23256" windowHeight="12456" tabRatio="699" activeTab="4" xr2:uid="{0CA728FF-49A4-4F02-BFF2-F222C861DD91}"/>
  </bookViews>
  <sheets>
    <sheet name="Livros na Estante" sheetId="1" r:id="rId1"/>
    <sheet name="Lidos" sheetId="10" r:id="rId2"/>
    <sheet name="Estatisticas de Leitura" sheetId="2" r:id="rId3"/>
    <sheet name="Ano compra" sheetId="3" r:id="rId4"/>
    <sheet name="Autores" sheetId="5" r:id="rId5"/>
    <sheet name="Editora" sheetId="7" r:id="rId6"/>
    <sheet name="Lidos Ano" sheetId="11" r:id="rId7"/>
    <sheet name="Séries Incompletas" sheetId="9" r:id="rId8"/>
  </sheets>
  <calcPr calcId="191029"/>
  <pivotCaches>
    <pivotCache cacheId="19" r:id="rId9"/>
    <pivotCache cacheId="2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5" i="2"/>
  <c r="B26" i="2"/>
  <c r="B25" i="2"/>
  <c r="B24" i="2"/>
  <c r="B23" i="2"/>
  <c r="B22" i="2"/>
  <c r="B21" i="2"/>
  <c r="B20" i="2"/>
  <c r="B4" i="2"/>
  <c r="B3" i="2"/>
  <c r="B2" i="2"/>
  <c r="B7" i="2" l="1"/>
  <c r="B27" i="2"/>
  <c r="C6" i="2" l="1"/>
  <c r="C5" i="2"/>
  <c r="C22" i="2"/>
  <c r="C25" i="2"/>
  <c r="C20" i="2"/>
  <c r="C23" i="2"/>
  <c r="C21" i="2"/>
  <c r="C26" i="2"/>
  <c r="C24" i="2"/>
  <c r="C4" i="2"/>
  <c r="C3" i="2"/>
  <c r="C2" i="2"/>
</calcChain>
</file>

<file path=xl/sharedStrings.xml><?xml version="1.0" encoding="utf-8"?>
<sst xmlns="http://schemas.openxmlformats.org/spreadsheetml/2006/main" count="2718" uniqueCount="967">
  <si>
    <t>Nome</t>
  </si>
  <si>
    <t>Autor</t>
  </si>
  <si>
    <t>Editora</t>
  </si>
  <si>
    <t>ISBN</t>
  </si>
  <si>
    <t>Ano-Compra</t>
  </si>
  <si>
    <t>Lido</t>
  </si>
  <si>
    <t>Coração das Trevas</t>
  </si>
  <si>
    <t>Contos do Grotesco e do Arabesco</t>
  </si>
  <si>
    <t>Don Juan</t>
  </si>
  <si>
    <t>O Finado Mattia Pascal</t>
  </si>
  <si>
    <t>A Conciência de Zeno</t>
  </si>
  <si>
    <t>Fábulas de Esopo</t>
  </si>
  <si>
    <t>Ilusões Perdidas</t>
  </si>
  <si>
    <t>Jerusalem Libertada</t>
  </si>
  <si>
    <t>Saga de Njall</t>
  </si>
  <si>
    <t>Um Diário do Ano da Peste</t>
  </si>
  <si>
    <t>Madame Bovary</t>
  </si>
  <si>
    <t>Os Trabalhadores do Mar</t>
  </si>
  <si>
    <t>Crime e Castigo</t>
  </si>
  <si>
    <t>Irmãos Karamazov</t>
  </si>
  <si>
    <t>Pais e Filhos</t>
  </si>
  <si>
    <t>Memorias Póstumas de Brás Cubas</t>
  </si>
  <si>
    <t>Dom Casmurro</t>
  </si>
  <si>
    <t>Caetés</t>
  </si>
  <si>
    <t>São Bernardo</t>
  </si>
  <si>
    <t>Vidas Secas</t>
  </si>
  <si>
    <t>Clube de Literatura Clássica</t>
  </si>
  <si>
    <t>Viagem ao Redor do meu Quarto</t>
  </si>
  <si>
    <t>Contos do Casmurro</t>
  </si>
  <si>
    <t>Saga de Gunnlaugr Lingua-de-Serpente</t>
  </si>
  <si>
    <t>Vida de Esopo</t>
  </si>
  <si>
    <t>A Conciência de Svevo</t>
  </si>
  <si>
    <t>Diário de um Homem Superfluo</t>
  </si>
  <si>
    <t>A fazenda dos Animais</t>
  </si>
  <si>
    <t>Torquato Tasso</t>
  </si>
  <si>
    <t>Três contos</t>
  </si>
  <si>
    <t>Eureka</t>
  </si>
  <si>
    <t>O Último Dia de um Condenado</t>
  </si>
  <si>
    <t>A Peste Escarlate</t>
  </si>
  <si>
    <t>Seis Personagens em Busca de um Autor</t>
  </si>
  <si>
    <t>Cadernos do Subterraneo</t>
  </si>
  <si>
    <t>Juventude</t>
  </si>
  <si>
    <t>Auto da Barca do Inferno</t>
  </si>
  <si>
    <t>L&amp;PM</t>
  </si>
  <si>
    <t>O Caçador de Pipas</t>
  </si>
  <si>
    <t>A Biblioteca da Meia Noite</t>
  </si>
  <si>
    <t>Os três Maridos de Evelyn Hugo</t>
  </si>
  <si>
    <t>Dasy Jones and The Six</t>
  </si>
  <si>
    <t>O Deus e o Imperador</t>
  </si>
  <si>
    <t>Verity</t>
  </si>
  <si>
    <t>Os Dois Morrem no Final</t>
  </si>
  <si>
    <t>Intrinseca</t>
  </si>
  <si>
    <t>Marley e Eu</t>
  </si>
  <si>
    <t>Pockt Ouro</t>
  </si>
  <si>
    <t>Grande Sertão: Veredas</t>
  </si>
  <si>
    <t>Companhia das Letras</t>
  </si>
  <si>
    <t>Principis</t>
  </si>
  <si>
    <t>Record</t>
  </si>
  <si>
    <t>A Hora da Estrela</t>
  </si>
  <si>
    <t>Os Sertões</t>
  </si>
  <si>
    <t>Rocco</t>
  </si>
  <si>
    <t>O Meu Pé de Laranja Lima</t>
  </si>
  <si>
    <t>Tudo é Rio</t>
  </si>
  <si>
    <t>Eu Receberia as Piores Notícias dos Seus Lindos Lábios</t>
  </si>
  <si>
    <t xml:space="preserve">Companhia das Letras </t>
  </si>
  <si>
    <t>Onze Minutos</t>
  </si>
  <si>
    <t>O Alquimista</t>
  </si>
  <si>
    <t xml:space="preserve">Batalhas de Um Pracinha </t>
  </si>
  <si>
    <t>Projeto Nacional: O Dever da Esperança</t>
  </si>
  <si>
    <t>Livro do Desassossego</t>
  </si>
  <si>
    <t>O Alienista</t>
  </si>
  <si>
    <t>Nova Fronteira</t>
  </si>
  <si>
    <t>O Livro dos Cinco Aneis</t>
  </si>
  <si>
    <t>Pé da Letra</t>
  </si>
  <si>
    <t>Bertrand Brasil</t>
  </si>
  <si>
    <t>Paralela</t>
  </si>
  <si>
    <t>Argumento</t>
  </si>
  <si>
    <t>Melhoramentos</t>
  </si>
  <si>
    <t>Galera Record</t>
  </si>
  <si>
    <t>Planeta</t>
  </si>
  <si>
    <t>Memorias de uma costureira</t>
  </si>
  <si>
    <t>Edição do Autor</t>
  </si>
  <si>
    <t>George Orwell</t>
  </si>
  <si>
    <t>Joseph Conrad</t>
  </si>
  <si>
    <t>Edgar Allan Poe</t>
  </si>
  <si>
    <t>Lord Byron</t>
  </si>
  <si>
    <t>Luigi Pirandello</t>
  </si>
  <si>
    <t>Italo Svevo</t>
  </si>
  <si>
    <t>Esopo</t>
  </si>
  <si>
    <t>Honoré de Balzac</t>
  </si>
  <si>
    <t>Anônimo</t>
  </si>
  <si>
    <t>Daniel Defoe</t>
  </si>
  <si>
    <t>Gustave Flaubert</t>
  </si>
  <si>
    <t>Victor Hugo</t>
  </si>
  <si>
    <t>Fiódor Dostoiévski</t>
  </si>
  <si>
    <t>Ivan Turguêniev</t>
  </si>
  <si>
    <t>Machado de Assis</t>
  </si>
  <si>
    <t>Graciliano Ramos</t>
  </si>
  <si>
    <t>Xavier de Maistre</t>
  </si>
  <si>
    <t>Johann Wolfgang von Goethe</t>
  </si>
  <si>
    <t>Jack London</t>
  </si>
  <si>
    <t>Gil Vicente</t>
  </si>
  <si>
    <t>Khaled Hosseini</t>
  </si>
  <si>
    <t>Miyamoto Musashi</t>
  </si>
  <si>
    <t>Matt Haig</t>
  </si>
  <si>
    <t>Taylor Jenkins Reid</t>
  </si>
  <si>
    <t>Sam Meekings</t>
  </si>
  <si>
    <t>Colleen Hoover</t>
  </si>
  <si>
    <t>Adam Silvera</t>
  </si>
  <si>
    <t>John Grogan</t>
  </si>
  <si>
    <t>João Guimarães Rosa</t>
  </si>
  <si>
    <t>Euclides da Cunha</t>
  </si>
  <si>
    <t>Clarice Lispector</t>
  </si>
  <si>
    <t>José Mauro de Vasconcelos</t>
  </si>
  <si>
    <t>Carla Madeira</t>
  </si>
  <si>
    <t>Marçal Aquino</t>
  </si>
  <si>
    <t>Paulo Coelho</t>
  </si>
  <si>
    <t>Antonio Walter Santim</t>
  </si>
  <si>
    <t>Ciro Gomes</t>
  </si>
  <si>
    <t>Fernando Pessoa</t>
  </si>
  <si>
    <t>Teresinha de Jesus Almeida</t>
  </si>
  <si>
    <t>Leya</t>
  </si>
  <si>
    <t>Sim</t>
  </si>
  <si>
    <t>978-65-87036-76-2</t>
  </si>
  <si>
    <t>978-658-7036-75-5</t>
  </si>
  <si>
    <t>978-65-87036-74-8</t>
  </si>
  <si>
    <t>978-65-87036-88-5</t>
  </si>
  <si>
    <t>978-65-87036-71-7</t>
  </si>
  <si>
    <t>978-65-87036-72-4</t>
  </si>
  <si>
    <t>978-65-87036-38-0</t>
  </si>
  <si>
    <t>978-65-87036-14-4</t>
  </si>
  <si>
    <t>978-65-87036-82-3</t>
  </si>
  <si>
    <t>978-65-87036-64-9</t>
  </si>
  <si>
    <t>978-65-87036-03-8</t>
  </si>
  <si>
    <t>978-65-87036-34-2</t>
  </si>
  <si>
    <t>978-65-87036-33-5</t>
  </si>
  <si>
    <t>978-65-87036-26-7</t>
  </si>
  <si>
    <t>Não</t>
  </si>
  <si>
    <t>Abandonado</t>
  </si>
  <si>
    <t>Trilogia dos Espinhos - King of Thorns</t>
  </si>
  <si>
    <t>Trilogia dos Espinhos - Emperor of Thorns</t>
  </si>
  <si>
    <t>Darkside</t>
  </si>
  <si>
    <t>Frankenstein</t>
  </si>
  <si>
    <t>Morro dos Ventos Uivantes</t>
  </si>
  <si>
    <t>Drácula</t>
  </si>
  <si>
    <t>Carmilla</t>
  </si>
  <si>
    <t>Pandorga</t>
  </si>
  <si>
    <t>Nobreza de Sangue</t>
  </si>
  <si>
    <t>O Labirinto do Fauno</t>
  </si>
  <si>
    <t xml:space="preserve">O Casal que Mora ao Lado </t>
  </si>
  <si>
    <t>A Paciente Silenciosa</t>
  </si>
  <si>
    <t>Morte Súbita</t>
  </si>
  <si>
    <t>O Cão dos Barkerville</t>
  </si>
  <si>
    <t>Vampiratas - Mar de Terror</t>
  </si>
  <si>
    <t>Vampiratas - Coração Negro</t>
  </si>
  <si>
    <t>Vampiratas - Capitão de Sangue</t>
  </si>
  <si>
    <t>Vampiratas - Demonios del Oceano</t>
  </si>
  <si>
    <t>Vampiratas - Una Ola de Terror</t>
  </si>
  <si>
    <t xml:space="preserve">Lendas Japonesas </t>
  </si>
  <si>
    <t>Galera</t>
  </si>
  <si>
    <t>Montena</t>
  </si>
  <si>
    <t>Grua Livros</t>
  </si>
  <si>
    <t>Vampiratas - Demonios do Oceano**</t>
  </si>
  <si>
    <t>Trilogia dos Espinhos - Prince of Thorns**</t>
  </si>
  <si>
    <t>Angustia*</t>
  </si>
  <si>
    <t>Angústia*</t>
  </si>
  <si>
    <t>O Médico e o Monstro e Outros Experimentos*</t>
  </si>
  <si>
    <t>O Médico e o Monstro ** *</t>
  </si>
  <si>
    <t>Jane Eyre</t>
  </si>
  <si>
    <t>Zahar</t>
  </si>
  <si>
    <t>Moby Dick</t>
  </si>
  <si>
    <t>Persuasão</t>
  </si>
  <si>
    <t>O Corcunda de Notre Dame</t>
  </si>
  <si>
    <t>Shirley</t>
  </si>
  <si>
    <t>Emma</t>
  </si>
  <si>
    <t>Martin Claret</t>
  </si>
  <si>
    <t>Os Miseráveis</t>
  </si>
  <si>
    <t>O Conde de Monte Cristo</t>
  </si>
  <si>
    <t>Hamlet</t>
  </si>
  <si>
    <t>A letra Escarlate</t>
  </si>
  <si>
    <t>O Homem que Calculava</t>
  </si>
  <si>
    <t>Os sofrimentos do Jovem Werther</t>
  </si>
  <si>
    <t>A mulher de trinta anos</t>
  </si>
  <si>
    <t>Penguin e Companhia</t>
  </si>
  <si>
    <t>Dom Quixote - Tomo 1</t>
  </si>
  <si>
    <t>Dom Quixote - Tomo 2</t>
  </si>
  <si>
    <t>Macbeth</t>
  </si>
  <si>
    <t xml:space="preserve">Caninos Brancos  </t>
  </si>
  <si>
    <t>A Metamorfose</t>
  </si>
  <si>
    <t>O Processo</t>
  </si>
  <si>
    <t>O Castelo</t>
  </si>
  <si>
    <t>Assim Falou Zaratrusta</t>
  </si>
  <si>
    <t>Senhor das Moscas</t>
  </si>
  <si>
    <t xml:space="preserve">O Velho e o Mar </t>
  </si>
  <si>
    <t>O Sol é para Todos</t>
  </si>
  <si>
    <t>Mrs Dalloway</t>
  </si>
  <si>
    <t>O menino do Pijama Lsitrado</t>
  </si>
  <si>
    <t>Alfaguara</t>
  </si>
  <si>
    <t>José Olympio</t>
  </si>
  <si>
    <t>Lafonte</t>
  </si>
  <si>
    <t>Seguinte</t>
  </si>
  <si>
    <t>Percy Jackson e os Olimpianos - O Último Olimpiano</t>
  </si>
  <si>
    <t>Percy Jackson e os Olimpianos - O Ladrão de Raios**</t>
  </si>
  <si>
    <t>Percy Jackson e os Olimpianos - Mar de Monstros**</t>
  </si>
  <si>
    <t>Percy Jackson e os Olimpianos - A Maldição do Titã**</t>
  </si>
  <si>
    <t>Percy Jackson e os Olimpianos - A Batalha no Labirinto**</t>
  </si>
  <si>
    <t>Os Heróis do Olimpo - O Herói Perdido</t>
  </si>
  <si>
    <t xml:space="preserve">Os Heróis do Olimpo - O Sangue do Olimpo </t>
  </si>
  <si>
    <t>Os Heróis do Olimpo - O Filho de Netuno</t>
  </si>
  <si>
    <t xml:space="preserve">Os Heróis do Olimpo - A Marca de Atena </t>
  </si>
  <si>
    <t>Os Heróis do Olimpo - A Casa de Hades - sumiu</t>
  </si>
  <si>
    <t>A Crônica do Matador de Rei -  O Nome do Vento</t>
  </si>
  <si>
    <t>A Crônica do Matador de Rei - O Temor do Sábio</t>
  </si>
  <si>
    <t>A Crônica do Matador de Rei - A Música do Silêncio</t>
  </si>
  <si>
    <t>A Crônica do Matador de Rei - O Estreito Caminho entre Desejos</t>
  </si>
  <si>
    <t>Arqueiro</t>
  </si>
  <si>
    <t>Suma</t>
  </si>
  <si>
    <t>Harper Collins</t>
  </si>
  <si>
    <t>Globo</t>
  </si>
  <si>
    <t>Millenium - Os Homens que não Amavam as Mulheres **</t>
  </si>
  <si>
    <t>Millenium - A Menina que Brincava com Fogo **</t>
  </si>
  <si>
    <t>Ciclo de Avalon - Ancestrais de Avalon</t>
  </si>
  <si>
    <t>Ciclo de Avalon - Os Corvos de Avalon</t>
  </si>
  <si>
    <t>Ciclo de Avalon - A Senhora de Avalon</t>
  </si>
  <si>
    <t>Anne de GreenGables</t>
  </si>
  <si>
    <t>Rangers Ordem dos Arqueiros - Livro 6 **</t>
  </si>
  <si>
    <t>Ps Eu te Amo</t>
  </si>
  <si>
    <t>O Menino que Descobriu o Vento</t>
  </si>
  <si>
    <t>Mark Lawrence</t>
  </si>
  <si>
    <t>Robert Louis Stevenson</t>
  </si>
  <si>
    <t>Mary Shelley</t>
  </si>
  <si>
    <t>Emily Brontë</t>
  </si>
  <si>
    <t>Bram Stoker</t>
  </si>
  <si>
    <t>J. Sheridan Le Fanu</t>
  </si>
  <si>
    <t>Michael Sanches</t>
  </si>
  <si>
    <t>Guillermo del Toro e Cornelia Funke</t>
  </si>
  <si>
    <t>Shari Lapena</t>
  </si>
  <si>
    <t>Alex Michaelides</t>
  </si>
  <si>
    <t>J. K. Rowling</t>
  </si>
  <si>
    <t>Arthur Conan Doyle</t>
  </si>
  <si>
    <t>Justin Somper</t>
  </si>
  <si>
    <t>Yei Theodora Ozaki</t>
  </si>
  <si>
    <t>Charlotte Brontë</t>
  </si>
  <si>
    <t>Herman Melville</t>
  </si>
  <si>
    <t>Jane Austen</t>
  </si>
  <si>
    <t>Alexandre Dumas</t>
  </si>
  <si>
    <t>William Shakespeare</t>
  </si>
  <si>
    <t>Nathaniel Hawthorne</t>
  </si>
  <si>
    <t>Malba Tahan</t>
  </si>
  <si>
    <t>Miguel de Cervantes</t>
  </si>
  <si>
    <t>Franz Kafka</t>
  </si>
  <si>
    <t>Friedrich Nietzsche</t>
  </si>
  <si>
    <t>William Golding</t>
  </si>
  <si>
    <t>Ernest Hemingway</t>
  </si>
  <si>
    <t>Harper Lee</t>
  </si>
  <si>
    <t>Virginia Woolf</t>
  </si>
  <si>
    <t>John Boyne</t>
  </si>
  <si>
    <t>Rick Riordan</t>
  </si>
  <si>
    <t>Philip Pullman</t>
  </si>
  <si>
    <t>Patrick Rothfuss</t>
  </si>
  <si>
    <t>Agatha Christie</t>
  </si>
  <si>
    <t>R. F. Kuang</t>
  </si>
  <si>
    <t>Stieg Larsson</t>
  </si>
  <si>
    <t>Carlos Ruiz Zafón</t>
  </si>
  <si>
    <t>Marion Zimmer Bradley e Diana L. Paxson</t>
  </si>
  <si>
    <t>L. M. Montgomery</t>
  </si>
  <si>
    <t>John Flanagan</t>
  </si>
  <si>
    <t>Cecelia Ahern</t>
  </si>
  <si>
    <t>William Kamkwamba e Bryan Mealer</t>
  </si>
  <si>
    <t>Planeta Minotauro</t>
  </si>
  <si>
    <t>Fundamentos</t>
  </si>
  <si>
    <t>sem registro</t>
  </si>
  <si>
    <t>O Guia do Mochileiro das Galáxias</t>
  </si>
  <si>
    <t>O Restaurante no Fim do Mundo</t>
  </si>
  <si>
    <t xml:space="preserve">A Vida, o Universo e Tudo Mais </t>
  </si>
  <si>
    <t>Até Mais, e Obrigada Pelos Peixes</t>
  </si>
  <si>
    <t>Praticamente Inofensiva</t>
  </si>
  <si>
    <t>O Conto da Aia</t>
  </si>
  <si>
    <t>Battle Royale</t>
  </si>
  <si>
    <t>Admirável Mundo Novo</t>
  </si>
  <si>
    <t>Fahrenheit 451</t>
  </si>
  <si>
    <t>Maus</t>
  </si>
  <si>
    <t>Cobra Kai : A Saga Karatê Kid Continua: A História de Johnny</t>
  </si>
  <si>
    <t>Sapiens - O Nascimento da Humanidade</t>
  </si>
  <si>
    <t>Sapiens - Os Pilares da Civilização</t>
  </si>
  <si>
    <t>Nana 1</t>
  </si>
  <si>
    <t xml:space="preserve">Nana 2 </t>
  </si>
  <si>
    <t>Nana 3</t>
  </si>
  <si>
    <t xml:space="preserve">Nana 4 </t>
  </si>
  <si>
    <t>Nana 5</t>
  </si>
  <si>
    <t>Livro das Mil e Uma Noites - Ramo Sírio - 1</t>
  </si>
  <si>
    <t>Livro das Mil e Uma Noites - Ramo Sírio - 2</t>
  </si>
  <si>
    <t>Livro das Mil e Uma Noites - Ramo Egípcio - 3</t>
  </si>
  <si>
    <t>Livro das Mil e Uma Noites - Ramo Egípcio - 4</t>
  </si>
  <si>
    <t>Livro das Mil e Uma Noites - Ramo Egípcio - 5</t>
  </si>
  <si>
    <t>Biblioteca Azul</t>
  </si>
  <si>
    <t>Arvore e Folha</t>
  </si>
  <si>
    <t xml:space="preserve">A Batalha de Maldom </t>
  </si>
  <si>
    <t>Harry Potter - Natal em Hogwarts</t>
  </si>
  <si>
    <t>MinaLima</t>
  </si>
  <si>
    <t>O Garoto do Riquixá</t>
  </si>
  <si>
    <t>Viagem ao Centro da Terra</t>
  </si>
  <si>
    <t>Vinte Mil Léguas Submarinas</t>
  </si>
  <si>
    <t>Oliver Twist</t>
  </si>
  <si>
    <t>Robin Hood</t>
  </si>
  <si>
    <t>Phantastes</t>
  </si>
  <si>
    <t>A Princesa e o Goblin</t>
  </si>
  <si>
    <t>As Lendas do Rei Arthur e seus Cavaleiros</t>
  </si>
  <si>
    <t>Os Três Mosqueteiros</t>
  </si>
  <si>
    <t>O Jardim Secreto</t>
  </si>
  <si>
    <t>A Princesinha</t>
  </si>
  <si>
    <t>Pollyanna</t>
  </si>
  <si>
    <t>Pollyanna moça</t>
  </si>
  <si>
    <t>O Maravilhoso Mágico de Oz</t>
  </si>
  <si>
    <t>As Aventuras de Pinoquio</t>
  </si>
  <si>
    <t>O Pequeno Principe</t>
  </si>
  <si>
    <t>Malala: a Menina que Queria ir para a Escola</t>
  </si>
  <si>
    <t>O Menino do Dedo Verde</t>
  </si>
  <si>
    <t>Por Causa de Você, Mãe</t>
  </si>
  <si>
    <t>O Ickabog</t>
  </si>
  <si>
    <t xml:space="preserve">Alice no Páis das Maravilhas </t>
  </si>
  <si>
    <t>Alice Através do Espelho</t>
  </si>
  <si>
    <t>Matilda</t>
  </si>
  <si>
    <t>As Bruxas</t>
  </si>
  <si>
    <t>A Fantástica Fábrica de Chocolate</t>
  </si>
  <si>
    <t>Fantástico Senhor Raposo</t>
  </si>
  <si>
    <t>O Cisne e o Trompete</t>
  </si>
  <si>
    <t>Stuart Little</t>
  </si>
  <si>
    <t>A Teia de Charlotte</t>
  </si>
  <si>
    <t>Ferreiro do Bosque Maior</t>
  </si>
  <si>
    <t>Mestre Giles d'Aldeia</t>
  </si>
  <si>
    <t>Roverando</t>
  </si>
  <si>
    <t>Carta Errante, Avó Atrapalhada, Menina Aniversariante</t>
  </si>
  <si>
    <t>Amanhã</t>
  </si>
  <si>
    <t>O Menino Marrom</t>
  </si>
  <si>
    <t>A Arvore em Mim</t>
  </si>
  <si>
    <t>Amiga Ursa</t>
  </si>
  <si>
    <t>A Montanha do Poder</t>
  </si>
  <si>
    <t>Pela Porta do Coração</t>
  </si>
  <si>
    <t>Regina Coeli Rennó</t>
  </si>
  <si>
    <t>FDT</t>
  </si>
  <si>
    <t>85-322-2367-2</t>
  </si>
  <si>
    <t>Turma da Onça Pintada -  Cadê o Rodolfo?</t>
  </si>
  <si>
    <t>Turma da Onça Pintada -  Romeu foi Clonado?</t>
  </si>
  <si>
    <t>Turma da Onça Pintada - Uma Nova Amizade</t>
  </si>
  <si>
    <t>Turma da Onça Pintada - A grande corrida</t>
  </si>
  <si>
    <t>Turma da Onça Pintada - Festa na Floresta</t>
  </si>
  <si>
    <t>Oca</t>
  </si>
  <si>
    <t>978-65-86962-10-9</t>
  </si>
  <si>
    <t>978-65-86962-09-3</t>
  </si>
  <si>
    <t>O Poder dos Quietos</t>
  </si>
  <si>
    <t>Mentes Consumistas</t>
  </si>
  <si>
    <t>A Morte é um Dia que se Vale a Pena Viver</t>
  </si>
  <si>
    <t>Ventosaterapia</t>
  </si>
  <si>
    <t>Helena Blavatsky</t>
  </si>
  <si>
    <t>A Voz do Silêncio</t>
  </si>
  <si>
    <t>Porque Ética é mais Importante do que a Religião</t>
  </si>
  <si>
    <t>Fernão Capelo Gaivota</t>
  </si>
  <si>
    <t>O Livro Egipcio dos Mortos</t>
  </si>
  <si>
    <t>O Livro do Caminho e da Virtude</t>
  </si>
  <si>
    <t>Introdução ao Budismo</t>
  </si>
  <si>
    <t>O Principío do Relógio de Sol</t>
  </si>
  <si>
    <t>Crônicas da Galileia: Histórias do Tempo de Jesus</t>
  </si>
  <si>
    <t>Fonte Viva</t>
  </si>
  <si>
    <t>Evangelho Segundo o Espiritismo</t>
  </si>
  <si>
    <t>Dias Melhores</t>
  </si>
  <si>
    <t>Minutos de Sabedoria</t>
  </si>
  <si>
    <t>Sutra Sagrada</t>
  </si>
  <si>
    <t>Biblia Sagrada</t>
  </si>
  <si>
    <t>Shinsokan e outras oraçõe</t>
  </si>
  <si>
    <t>Ponte Para Terabítia</t>
  </si>
  <si>
    <t>A Sétima Ordem</t>
  </si>
  <si>
    <t>Literare Books Internacional</t>
  </si>
  <si>
    <t>The Next-Door Dogs</t>
  </si>
  <si>
    <t>Rodowsky/Bates</t>
  </si>
  <si>
    <t>FSG</t>
  </si>
  <si>
    <t>978-0-374-36410-6</t>
  </si>
  <si>
    <t>Douglas Adams</t>
  </si>
  <si>
    <t>Ursula K. Le Guin</t>
  </si>
  <si>
    <t>Margaret Atwood</t>
  </si>
  <si>
    <t>Suzanne Collins</t>
  </si>
  <si>
    <t>Koushun Takami</t>
  </si>
  <si>
    <t>Aldous Huxley</t>
  </si>
  <si>
    <t>Ray Bradbury</t>
  </si>
  <si>
    <t>Art Spiegelman</t>
  </si>
  <si>
    <t>Denton J. Tipton</t>
  </si>
  <si>
    <t>Ai Yazawa</t>
  </si>
  <si>
    <t>J. R. R. Tolkien</t>
  </si>
  <si>
    <t>Cornelia Funke</t>
  </si>
  <si>
    <t>Michelly Gassmann</t>
  </si>
  <si>
    <t>Katherine Paterson</t>
  </si>
  <si>
    <t>Lao She</t>
  </si>
  <si>
    <t>Jules Verne</t>
  </si>
  <si>
    <t>Charles Dickens</t>
  </si>
  <si>
    <t>Howard Pyle</t>
  </si>
  <si>
    <t>George MacDonald</t>
  </si>
  <si>
    <t>James Knowles</t>
  </si>
  <si>
    <t>Frances Hodgson Burnett</t>
  </si>
  <si>
    <t>Eleanor H. Porter</t>
  </si>
  <si>
    <t>L. Frank Baum</t>
  </si>
  <si>
    <t>Carlo Collodi</t>
  </si>
  <si>
    <t>Antoine de Saint-Exupéry</t>
  </si>
  <si>
    <t>Adriana Carranca</t>
  </si>
  <si>
    <t>Maurice Druon</t>
  </si>
  <si>
    <t>Kobi Yamada</t>
  </si>
  <si>
    <t>Lewis Carroll</t>
  </si>
  <si>
    <t>Roald Dahl</t>
  </si>
  <si>
    <t>E. B. White</t>
  </si>
  <si>
    <t>Mirna Pinsky</t>
  </si>
  <si>
    <t>Lúcia Hiratsuka</t>
  </si>
  <si>
    <t>Ziraldo</t>
  </si>
  <si>
    <t>Corinna Luyken</t>
  </si>
  <si>
    <t>Rita Lee</t>
  </si>
  <si>
    <t>Jo Yong; Jam San</t>
  </si>
  <si>
    <t>Patrícia Engel Secco</t>
  </si>
  <si>
    <t>Moby Dick Adaptado - Bilingue</t>
  </si>
  <si>
    <t>Ana Beatriz Barbosa Silva</t>
  </si>
  <si>
    <t>Ana Claudia Quintana Arantes</t>
  </si>
  <si>
    <t>Iandê Albuquerque</t>
  </si>
  <si>
    <t>Antonio Augusto Cunha</t>
  </si>
  <si>
    <t>Helena P. Blavatsky</t>
  </si>
  <si>
    <t>Dalai Lama</t>
  </si>
  <si>
    <t>Richard Bach</t>
  </si>
  <si>
    <t>Lao-Tsé</t>
  </si>
  <si>
    <t>Geshe Kelsang Gyatso</t>
  </si>
  <si>
    <t>Masanobu Taniguchi</t>
  </si>
  <si>
    <t>Carlos Henrique; psicografia de Angelo Dias</t>
  </si>
  <si>
    <t>Francisco Cândido Xavier; Emmanuel</t>
  </si>
  <si>
    <t>Allan Kardec</t>
  </si>
  <si>
    <t>Irmão José; psicografia de Carlos A. Baccelli</t>
  </si>
  <si>
    <t>C. Torres Pastorino</t>
  </si>
  <si>
    <t>Masaharu Taniguchi</t>
  </si>
  <si>
    <t>Silvia Cranston</t>
  </si>
  <si>
    <t>Cem Anos de Solidão</t>
  </si>
  <si>
    <t>Gabriel Garcia Marquez</t>
  </si>
  <si>
    <t>O Castelo Animado</t>
  </si>
  <si>
    <t>Diana Wynne Jones</t>
  </si>
  <si>
    <t>Fronteiras do Universo - A Faca Sutil</t>
  </si>
  <si>
    <t>Fronteiras do Universo - A Luneta Ambar</t>
  </si>
  <si>
    <t>Rainha do Crime - O Mistério dos Sete Relógios</t>
  </si>
  <si>
    <t>Rainha do Crime - Os Trabalhos de Hércules</t>
  </si>
  <si>
    <t>Rainha do Crime - Crimes ABC</t>
  </si>
  <si>
    <t>Rainha do Crime - A Maldicão do Espelho</t>
  </si>
  <si>
    <t xml:space="preserve">Rainha do Crime - Cem Gramas de Centeio </t>
  </si>
  <si>
    <t>Rainha do Crime - Nêmesis</t>
  </si>
  <si>
    <t>Rainha do Crime - E Não Sobrou Nenhum</t>
  </si>
  <si>
    <t xml:space="preserve">O Cemitério dos Livros Esquecidos - A Sombra do Vento </t>
  </si>
  <si>
    <t>Hainish Cycle - Os Despossuídos</t>
  </si>
  <si>
    <t>Hainish Cycle - A Mão Esquerda da Escuridão</t>
  </si>
  <si>
    <t>O Conto da Aia - Os Testamentos</t>
  </si>
  <si>
    <t>Jogos Vorazes - A Cantiga dos Pássaros e das Serpentes</t>
  </si>
  <si>
    <t>Jogos Vorazes - Amanhecer na Colheita</t>
  </si>
  <si>
    <t>Jogos Vorazes - Juegos del Hambre</t>
  </si>
  <si>
    <t>Terra-média - O Silmarillion</t>
  </si>
  <si>
    <t>Terra-média -  Beren e Luthien</t>
  </si>
  <si>
    <t>Terra-média -  Os Filhos de Hurin</t>
  </si>
  <si>
    <t>Terra-média - A Queda de Gondolim</t>
  </si>
  <si>
    <t>Terra-média - A Queda de Numenor</t>
  </si>
  <si>
    <t>Terra-média - O Hobbit **</t>
  </si>
  <si>
    <t>Terra-média - Senhor dos Anéis - A Sociedade do Anel **</t>
  </si>
  <si>
    <t>Terra-média - Senhor dos Anéis - As Duas Torres **</t>
  </si>
  <si>
    <t>Terra-média - Senhor dos Anéis - O Retorn do Rei **</t>
  </si>
  <si>
    <t>Terra-média - O Hobbit - Em quadrinhos</t>
  </si>
  <si>
    <t>Tudo bem Não ser Normal - O menino que se Alimentava de Pesadelos</t>
  </si>
  <si>
    <t>Tudo bem Não ser Normal - Criança Zumbi</t>
  </si>
  <si>
    <t>Tudo bem Não ser Normal - A Mão e o Tamboril</t>
  </si>
  <si>
    <t>Tudo bem Não ser Normal - O Cão Alegre</t>
  </si>
  <si>
    <t>Tudo bem Não ser Normal - Em Busca da Feição Real</t>
  </si>
  <si>
    <t>O Castelo Animado - O Castelo no Ar</t>
  </si>
  <si>
    <t>Mundo de Tinta 3 - Morte de Tinta</t>
  </si>
  <si>
    <t>Mundo de Tinta 4 - A cor da Vingança</t>
  </si>
  <si>
    <t xml:space="preserve">Harry Potter 1 - e a Pedra Filosofal </t>
  </si>
  <si>
    <t>Ciclo de Avalon - A casa da Floresta</t>
  </si>
  <si>
    <t>Ciclo de Avalon - A espada de Avalon</t>
  </si>
  <si>
    <t>Alchemised</t>
  </si>
  <si>
    <t>SenLinYu</t>
  </si>
  <si>
    <t xml:space="preserve">Marion Zimmer Bradley </t>
  </si>
  <si>
    <t>As vinhas da Ira</t>
  </si>
  <si>
    <t>John Steinbeck</t>
  </si>
  <si>
    <t>Velas Escarlates: conto feérico</t>
  </si>
  <si>
    <t>Aleksandr Grin</t>
  </si>
  <si>
    <t>Cartas ao Papa Noel</t>
  </si>
  <si>
    <t>A Guerra da Papoula 1</t>
  </si>
  <si>
    <t>A Guerra da Papoula 2 -  A republica do Dragão</t>
  </si>
  <si>
    <t>A Guerra da Papoula 3 - A Deusa em Chamas</t>
  </si>
  <si>
    <t>Hamnet</t>
  </si>
  <si>
    <t>Maggie O'Farrell</t>
  </si>
  <si>
    <t>Ainda Estou Aqui</t>
  </si>
  <si>
    <t>A Montanha Mágica</t>
  </si>
  <si>
    <t>Marcelo Rubens Paiva</t>
  </si>
  <si>
    <t>Thomas Mann</t>
  </si>
  <si>
    <t>Holly Black</t>
  </si>
  <si>
    <t>O Povo do Ar 1 - O Principe Cruel</t>
  </si>
  <si>
    <t>O Povo do Ar 2 - O Rei Perverso</t>
  </si>
  <si>
    <t>O Povo do Ar 3 - A Rainha do Nada</t>
  </si>
  <si>
    <t>O Povo do Ar Spin Off 3 - O Canto Mais Escuro da Floresta</t>
  </si>
  <si>
    <t>Os Fragmentos do Bovadium</t>
  </si>
  <si>
    <t>J.R.R. Tolkien</t>
  </si>
  <si>
    <t>As aventuras de Pedro Coelho</t>
  </si>
  <si>
    <t>Beatrix Potter</t>
  </si>
  <si>
    <t>Companhia das Letrinhas</t>
  </si>
  <si>
    <t>Status de Leitura</t>
  </si>
  <si>
    <t>Quantidade</t>
  </si>
  <si>
    <t>Lendo</t>
  </si>
  <si>
    <t>Total</t>
  </si>
  <si>
    <t>Rótulos de Linha</t>
  </si>
  <si>
    <t>(vazio)</t>
  </si>
  <si>
    <t>Total Geral</t>
  </si>
  <si>
    <t>Contagem de Nome</t>
  </si>
  <si>
    <t>Yuval Noah Harari</t>
  </si>
  <si>
    <t>Mamede Mustafa Jarouche</t>
  </si>
  <si>
    <t>Jogos Vorazes</t>
  </si>
  <si>
    <t>Nana</t>
  </si>
  <si>
    <t>Mundo de tinta</t>
  </si>
  <si>
    <t>Herois do Olimpo</t>
  </si>
  <si>
    <t>Fronteiras do universo</t>
  </si>
  <si>
    <t>Millenium</t>
  </si>
  <si>
    <t>Ciclo de Avalon</t>
  </si>
  <si>
    <t>Rangers</t>
  </si>
  <si>
    <t>As cronicas de Anne</t>
  </si>
  <si>
    <t>Hainish Cycle</t>
  </si>
  <si>
    <t>O Castelo Animado - A casa dos muitos caminhos</t>
  </si>
  <si>
    <t>Vampiratas</t>
  </si>
  <si>
    <t>Ensaio Sobre a Cegueira</t>
  </si>
  <si>
    <t>José Saramago</t>
  </si>
  <si>
    <t>A cronica do Matador de Rei</t>
  </si>
  <si>
    <t>Data de Leitura</t>
  </si>
  <si>
    <t>Merlin, o Mágico</t>
  </si>
  <si>
    <t>Patolino</t>
  </si>
  <si>
    <t>A Princesa e a Ervilha</t>
  </si>
  <si>
    <t>Sérgio Luiz de Oliveira Silva</t>
  </si>
  <si>
    <t>Mini Livro Jó</t>
  </si>
  <si>
    <t>Mini Livro Pastor</t>
  </si>
  <si>
    <t>Bisa Bia, Bisa Bel</t>
  </si>
  <si>
    <t>Ana Maria Machado</t>
  </si>
  <si>
    <t>Contos de Fadas Capa vermelha</t>
  </si>
  <si>
    <t>Carta errante, avó atrapalhada, menina aniversariante</t>
  </si>
  <si>
    <t>Harry Potter e a Pedra Filosofal</t>
  </si>
  <si>
    <t>Harry Potter e a Câmara Secreta</t>
  </si>
  <si>
    <t>Um rio que vem da Grécia</t>
  </si>
  <si>
    <t>Cláudio Moreno</t>
  </si>
  <si>
    <t>Harry Potter e o Prisioneiro de Azkaban</t>
  </si>
  <si>
    <t>Brida</t>
  </si>
  <si>
    <t>Ciclo de Avalon - As Brumas de Avalon - A Senhora da Magia</t>
  </si>
  <si>
    <t>Marion Zimmer Bradley</t>
  </si>
  <si>
    <t>Ciclo de Avalon - As Brumas de Avalon - A Grande Rainha</t>
  </si>
  <si>
    <t>Harry Potter e o Cálice de Fogo</t>
  </si>
  <si>
    <t>Harry Potter e a Ordem da Fênix</t>
  </si>
  <si>
    <t>Harry Potter e o Enigma do Príncipe</t>
  </si>
  <si>
    <t>Ciclo de Avalon - As Brumas de Avalon - O Prisioneiro da Árvore</t>
  </si>
  <si>
    <t>Ciclo de Avalon - As Brumas de Avalon - O Gamo-Rei</t>
  </si>
  <si>
    <t>Harry Potter e as Relíquias da Morte</t>
  </si>
  <si>
    <t>As Primaveras (1867)</t>
  </si>
  <si>
    <t>Casimiro Jose Marques de Abreu</t>
  </si>
  <si>
    <t>Ramsés: O filho da luz</t>
  </si>
  <si>
    <t>Christian Jacq</t>
  </si>
  <si>
    <t>Ramsés: O Templo de Milhões de Anos</t>
  </si>
  <si>
    <t>Mulheres que mudaram o mundo</t>
  </si>
  <si>
    <t>Gabriel Chalita</t>
  </si>
  <si>
    <t>Sutras Sagradas</t>
  </si>
  <si>
    <t>"Shinsokan" e outras orações</t>
  </si>
  <si>
    <t>Pela porta do coração</t>
  </si>
  <si>
    <t>Só é gordo quem quer</t>
  </si>
  <si>
    <t>Uchôa Junior</t>
  </si>
  <si>
    <t>Pelas Portas Do Coração</t>
  </si>
  <si>
    <t>Zíbia Gasparetto</t>
  </si>
  <si>
    <t>Laços Eternos</t>
  </si>
  <si>
    <t>O Amor Venceu</t>
  </si>
  <si>
    <t>Entre o Amor e a Guerra</t>
  </si>
  <si>
    <t>A Casa</t>
  </si>
  <si>
    <t>André Vianco</t>
  </si>
  <si>
    <t>A Cabana</t>
  </si>
  <si>
    <t>William P. Young</t>
  </si>
  <si>
    <t>Ciclo de Avalon - A Sacerdotisa de Avalon</t>
  </si>
  <si>
    <t>O Livro dos Jovens</t>
  </si>
  <si>
    <t>Educaçao Fisica Cuida Do Corpo...E "Mente "</t>
  </si>
  <si>
    <t>João Paulo S. Medina</t>
  </si>
  <si>
    <t>Aleph</t>
  </si>
  <si>
    <t>As Valkirias</t>
  </si>
  <si>
    <t>Terapia do Trabalho</t>
  </si>
  <si>
    <t>Daniel Grippo</t>
  </si>
  <si>
    <t>O Chá do Amor</t>
  </si>
  <si>
    <t>Jennifer Donnelly</t>
  </si>
  <si>
    <t>Vampiratas: Demônios do Oceano</t>
  </si>
  <si>
    <t>O que é Seicho-No-Ie</t>
  </si>
  <si>
    <t>O Diário de um Mago</t>
  </si>
  <si>
    <t xml:space="preserve">Se Abrindo Para Vida </t>
  </si>
  <si>
    <t>Entrevista Com o Vampiro</t>
  </si>
  <si>
    <t>Anne Rice</t>
  </si>
  <si>
    <t>A princesa à espera</t>
  </si>
  <si>
    <t>Meg Cabot</t>
  </si>
  <si>
    <t>A Princesa Apaixonada</t>
  </si>
  <si>
    <t>A Princesa Sob os Refletores</t>
  </si>
  <si>
    <t>A Princesa de Rosa-Shocking</t>
  </si>
  <si>
    <t>O Diário da Princesa</t>
  </si>
  <si>
    <t>A princesa em treinamento</t>
  </si>
  <si>
    <t>Princesa Mia</t>
  </si>
  <si>
    <t>A Princesa no Limite</t>
  </si>
  <si>
    <t>A princesa na balada</t>
  </si>
  <si>
    <t>Princesa para sempre</t>
  </si>
  <si>
    <t>O Nome do Vento</t>
  </si>
  <si>
    <t>As Crônicas de Nárnia 1 - O Sobrinho do mago</t>
  </si>
  <si>
    <t>C. S. Lewis</t>
  </si>
  <si>
    <t>As Crônicas de Nárnia 2 - O Leão, a Feiticeira e o Guarda-roupas</t>
  </si>
  <si>
    <t>Pai Rico, Pai Pobre</t>
  </si>
  <si>
    <t>Robert T. Kiyosaki</t>
  </si>
  <si>
    <t>As Crônicas de Nárnia 3 - O Cavalo e seu Menino</t>
  </si>
  <si>
    <t>As Crônicas de Nárnia 4 - Príncipe Caspian</t>
  </si>
  <si>
    <t>Vampiratas: Demonios del Oceano</t>
  </si>
  <si>
    <t>Mujercitas</t>
  </si>
  <si>
    <t>Louisa May Alcott</t>
  </si>
  <si>
    <t>Marley e eu</t>
  </si>
  <si>
    <t>Elantris</t>
  </si>
  <si>
    <t>Brandon Sanderson</t>
  </si>
  <si>
    <t>Eu sou o mensageiro</t>
  </si>
  <si>
    <t>Markus Zusak</t>
  </si>
  <si>
    <t>Crônicas da Galiléia: Histórias do Tempo de Jesus</t>
  </si>
  <si>
    <t>Ângelo Dias</t>
  </si>
  <si>
    <t>o modo feliz de viver seicho no ie Ed. 2010</t>
  </si>
  <si>
    <t>Seicho Taniguchi</t>
  </si>
  <si>
    <t>Memórias de uma Costureira</t>
  </si>
  <si>
    <t>Terezinha de Jseus Almeida</t>
  </si>
  <si>
    <t>Desventuras em Série 3 - O Lago das Sanguessugas</t>
  </si>
  <si>
    <t>Lemony Snicket</t>
  </si>
  <si>
    <t>Desventuras em Série 2 - A Sala dos Répteis</t>
  </si>
  <si>
    <t>Desventuras em Série 1 -Mau Começo</t>
  </si>
  <si>
    <t>Como os animais salvaram minha vida</t>
  </si>
  <si>
    <t>Luisa Mell</t>
  </si>
  <si>
    <t>O Pequeno Príncipe</t>
  </si>
  <si>
    <t>Pilates sem Riscos: os Riscos mais Comuns e como Evitá-los</t>
  </si>
  <si>
    <t>Blandine Calais-Germain</t>
  </si>
  <si>
    <t>Comer, Rezar, Amar - Ediao Comemorativa</t>
  </si>
  <si>
    <t>Elizabeth Gilbert</t>
  </si>
  <si>
    <t>Pilates para grávidas: Exercícios simples e seguros para antes e depois do parto</t>
  </si>
  <si>
    <t>Jan Endacott</t>
  </si>
  <si>
    <t>A Obra completa de Joseph Pilates: Sua Saúde</t>
  </si>
  <si>
    <t>Joseph Pilates</t>
  </si>
  <si>
    <t>A Obra completa de Joseph Pilates:  Retorno à Vida Através da Contrologia</t>
  </si>
  <si>
    <t>Percy Jackson e os Olimpianos - O Mar de Monstros</t>
  </si>
  <si>
    <t>Percy Jackson e os Olimpianos - A Batalha do Labirinto</t>
  </si>
  <si>
    <t>Percy Jackson e os Olimpianos - A Maldição do Titã</t>
  </si>
  <si>
    <t>Percy Jackson e os Olimpianos - O Ladrão de Raios</t>
  </si>
  <si>
    <t>Método Delavier de musculação</t>
  </si>
  <si>
    <t>Frédéric Delavier, Michael Gundill</t>
  </si>
  <si>
    <t>Contentamento</t>
  </si>
  <si>
    <t>Dalai Lama XIV</t>
  </si>
  <si>
    <t>Agua para elefantes</t>
  </si>
  <si>
    <t>Sara Gruen</t>
  </si>
  <si>
    <t>Romeu e Julieta</t>
  </si>
  <si>
    <t>Jogos Vorazes -  Em Chamas</t>
  </si>
  <si>
    <t>Jogos Vorazes -  A Esperança</t>
  </si>
  <si>
    <t>Viagem À Lua De Canoa</t>
  </si>
  <si>
    <t>Hugo Almeida</t>
  </si>
  <si>
    <t>O que é o mistério</t>
  </si>
  <si>
    <t>Avaliacao e Prescricao de Exercicios Fisicos: Normas e Diretrizes</t>
  </si>
  <si>
    <t>Various</t>
  </si>
  <si>
    <t>Encarnação</t>
  </si>
  <si>
    <t>José de Alencar</t>
  </si>
  <si>
    <t>Os Heróis do Olimpo - A Marca de Atena</t>
  </si>
  <si>
    <t>Memórias de minhas putas tristes</t>
  </si>
  <si>
    <t>Gabriel García Márquez</t>
  </si>
  <si>
    <t>Por que Etica E Mais Importante do que Religiao</t>
  </si>
  <si>
    <t>Dalai Lama XIV, Franz Alt</t>
  </si>
  <si>
    <t>As Crônicas de Nárnia 5 - A Viagem do Peregrino da Alvorada</t>
  </si>
  <si>
    <t>Alma de Minh'Alma</t>
  </si>
  <si>
    <t>J.W. Rochester</t>
  </si>
  <si>
    <t>Os Heróis do Olimpo - A Casa de Hades</t>
  </si>
  <si>
    <t>Os Heróis do Olimpo - O Sangue do Olimpo</t>
  </si>
  <si>
    <t>Capitães da Areia</t>
  </si>
  <si>
    <t>Jorge Amado</t>
  </si>
  <si>
    <t>Frankenstein Ou o Prometeu Moderno</t>
  </si>
  <si>
    <t>A Arte da Guerra</t>
  </si>
  <si>
    <t>Sun Tzu</t>
  </si>
  <si>
    <t>O Hobbit</t>
  </si>
  <si>
    <t>Todos Podem Ter Sucesso</t>
  </si>
  <si>
    <t>Katsumi Tokuhisa</t>
  </si>
  <si>
    <t>Avanços no Treinamento Funcional</t>
  </si>
  <si>
    <t>Michael Boyle</t>
  </si>
  <si>
    <t>Fronteiras do Universo -  A Bússola de Ouro</t>
  </si>
  <si>
    <t>Eric Shanower</t>
  </si>
  <si>
    <t>O Labirinto de Ossos</t>
  </si>
  <si>
    <t>Fronteiras do Universo -  A Faca Sutil</t>
  </si>
  <si>
    <t>O cão alegre</t>
  </si>
  <si>
    <t>Jo Yong</t>
  </si>
  <si>
    <t>Criança zumbi</t>
  </si>
  <si>
    <t>O menino que se alimentava de pesadelos</t>
  </si>
  <si>
    <t>A mão e o tamboril</t>
  </si>
  <si>
    <t>Em busca da feição real</t>
  </si>
  <si>
    <t>Alice através do espelho e o que ela encontrou lá</t>
  </si>
  <si>
    <t>Desventuras em Série - O Elevador Ersatz</t>
  </si>
  <si>
    <t>Prince of Thorns</t>
  </si>
  <si>
    <t>Punição para a Inocência</t>
  </si>
  <si>
    <t>O Nariz / Diário de um Louco</t>
  </si>
  <si>
    <t>Nikolai Gogol</t>
  </si>
  <si>
    <t>Os contos de Beedle, o Bardo</t>
  </si>
  <si>
    <t>Eu Sou a Lenda</t>
  </si>
  <si>
    <t>Richard Matheson</t>
  </si>
  <si>
    <t>Um Mistério no Caribe</t>
  </si>
  <si>
    <t>A importância do Pilates na Gestação</t>
  </si>
  <si>
    <t>Pablo Morales Barbian</t>
  </si>
  <si>
    <t>Meu Pé de Laranja Lima</t>
  </si>
  <si>
    <t>A Revolução dos Bichos</t>
  </si>
  <si>
    <t>Guia Completo de Pilates</t>
  </si>
  <si>
    <t>Alan Herdman</t>
  </si>
  <si>
    <t>A Cartomante</t>
  </si>
  <si>
    <t>A causa secreta: conto</t>
  </si>
  <si>
    <t>O Menino, a Toupeira, a Raposa e o Cavalo</t>
  </si>
  <si>
    <t>Charlie Mackesy</t>
  </si>
  <si>
    <t>A parte que Falta</t>
  </si>
  <si>
    <t>Shel Silverstein</t>
  </si>
  <si>
    <t>A parte que falta encontra o grande O</t>
  </si>
  <si>
    <t>Cem: O que aprendemos na vida</t>
  </si>
  <si>
    <t>Valerio Vidali, Heike Faller</t>
  </si>
  <si>
    <t>Dom Quixote</t>
  </si>
  <si>
    <t>Maus: A História de um Sobrevivente</t>
  </si>
  <si>
    <t>Noite Sem Fim</t>
  </si>
  <si>
    <t>Contos de Amor e Ciúme</t>
  </si>
  <si>
    <t>O Médico e O Monstro &amp; Outros Experimentos</t>
  </si>
  <si>
    <t>As Coisas Que Você Só Vê Quando Desacelera</t>
  </si>
  <si>
    <t>Haemin Sunim</t>
  </si>
  <si>
    <t>As Crônicas de Nárnia 6 - A Cadeira de Prata</t>
  </si>
  <si>
    <t>O Amante</t>
  </si>
  <si>
    <t>Marguerite Duras</t>
  </si>
  <si>
    <t>O Sequestro do Primeiro Ministro</t>
  </si>
  <si>
    <t>O Estrangeiro</t>
  </si>
  <si>
    <t>Albert Camus</t>
  </si>
  <si>
    <t>A Canção dos Shenlongs: Guerras Épicas do Império de Housai</t>
  </si>
  <si>
    <t>Diogo Andrade</t>
  </si>
  <si>
    <t>O cavaleiro Preso na Armadura</t>
  </si>
  <si>
    <t>Robert Fisher</t>
  </si>
  <si>
    <t>Jesus Rocks - English version</t>
  </si>
  <si>
    <t>Brão Barbosa</t>
  </si>
  <si>
    <t>A Iara: Uma lenda indígena em quadrinhos</t>
  </si>
  <si>
    <t>Silvino</t>
  </si>
  <si>
    <t>O Corpo Pilates. Um Guia Para Fortalecimento, Alongamento E Tonificação Sem O Uso De Máquinas</t>
  </si>
  <si>
    <t>Brooke Siler</t>
  </si>
  <si>
    <t>A Tempestade</t>
  </si>
  <si>
    <t>Lillo Parra</t>
  </si>
  <si>
    <t>Pilates Para Você</t>
  </si>
  <si>
    <t>Ann Crowther</t>
  </si>
  <si>
    <t>O Mundo de Sofia</t>
  </si>
  <si>
    <t>Jostein Gaarder</t>
  </si>
  <si>
    <t>LPF 1</t>
  </si>
  <si>
    <t>LPF 2</t>
  </si>
  <si>
    <t>LPF 3</t>
  </si>
  <si>
    <t>Curso Essencial de Pilates</t>
  </si>
  <si>
    <t>Hayes</t>
  </si>
  <si>
    <t>O Labirinto Do Fauno</t>
  </si>
  <si>
    <t>Guillermo del Toro, Cornelia Funke</t>
  </si>
  <si>
    <t>Fronteiras do Universo -  A Luneta Âmbar</t>
  </si>
  <si>
    <t>O milagre da manhã</t>
  </si>
  <si>
    <t>Hal Elrod</t>
  </si>
  <si>
    <t>O que é Depressão</t>
  </si>
  <si>
    <t>Borchard</t>
  </si>
  <si>
    <t>A Árvore em Mim</t>
  </si>
  <si>
    <t>Corinna Luyken, Susana Cardoso Ferreira</t>
  </si>
  <si>
    <t>Quando Mamãe ou Papai Morre</t>
  </si>
  <si>
    <t>GRIPPO</t>
  </si>
  <si>
    <t>Because of You, Mom</t>
  </si>
  <si>
    <t>Lucia Hiratsuka</t>
  </si>
  <si>
    <t>O que Acontece Quando Aguem Morre?</t>
  </si>
  <si>
    <t>Mundy Michaelene</t>
  </si>
  <si>
    <t>Amiga ursa – Uma história triste, mas com final feliz</t>
  </si>
  <si>
    <t>O que eu faço com esse buraco?</t>
  </si>
  <si>
    <t>Rossana Ramos</t>
  </si>
  <si>
    <t>Uma Grande Amizade</t>
  </si>
  <si>
    <t>Flávio Colombini</t>
  </si>
  <si>
    <t>Tia Cris</t>
  </si>
  <si>
    <t>Bom soninho, Lili!</t>
  </si>
  <si>
    <t>O dia em que adotei o Pipoca</t>
  </si>
  <si>
    <t>Verônica Matioli</t>
  </si>
  <si>
    <t>A mulher em mim</t>
  </si>
  <si>
    <t>Britney Spears</t>
  </si>
  <si>
    <t xml:space="preserve">Vamos Aquecer o Sol </t>
  </si>
  <si>
    <t>Doidão</t>
  </si>
  <si>
    <t>Diário de uma ansiosa ou como parei de me sabotar</t>
  </si>
  <si>
    <t>Beth Evans</t>
  </si>
  <si>
    <t>Olhos d'água</t>
  </si>
  <si>
    <t>Conceição Evaristo</t>
  </si>
  <si>
    <t xml:space="preserve">As Crônicas de Nárnia 7 - A Ultima Batalha </t>
  </si>
  <si>
    <t>Três Maneiras de Escrever para Crianças</t>
  </si>
  <si>
    <t>O gato que amava livros</t>
  </si>
  <si>
    <t>Sōsuke Natsukawa</t>
  </si>
  <si>
    <t>Porque Não Pediram a Evans?</t>
  </si>
  <si>
    <t>Vai dar tudo certo</t>
  </si>
  <si>
    <t>Lysa Terkeurst</t>
  </si>
  <si>
    <t>O Retrato de Dorian Gray</t>
  </si>
  <si>
    <t>Oscar Wilde</t>
  </si>
  <si>
    <t>O jumentinho que carregou um rei</t>
  </si>
  <si>
    <t>R.C. Sproul, Chuck Groenink</t>
  </si>
  <si>
    <t>Niccolò Machiavelli</t>
  </si>
  <si>
    <t>Lendas Japonesas</t>
  </si>
  <si>
    <t>Loputyn</t>
  </si>
  <si>
    <t>O auto da compadecida</t>
  </si>
  <si>
    <t>Ariano Suassuna</t>
  </si>
  <si>
    <t>O Navio Negreiro</t>
  </si>
  <si>
    <t>Castro Alves</t>
  </si>
  <si>
    <t>O Morro dos Ventos Uivantes</t>
  </si>
  <si>
    <t>O Estranho Mundo de Jack</t>
  </si>
  <si>
    <t>Sally Morgan</t>
  </si>
  <si>
    <t>O curioso caso de Benjamin Button</t>
  </si>
  <si>
    <t>F. Scott Fitzgerald</t>
  </si>
  <si>
    <t>Agnes Grey</t>
  </si>
  <si>
    <t>Anne Brontë</t>
  </si>
  <si>
    <t>Onze minutos</t>
  </si>
  <si>
    <t>Malala: A Menina que Queria ir para a Escola</t>
  </si>
  <si>
    <t>O Velho e o Mar</t>
  </si>
  <si>
    <t>Cem Gramas de Centeio</t>
  </si>
  <si>
    <t>A teia de Charlotte</t>
  </si>
  <si>
    <t>E.B. White</t>
  </si>
  <si>
    <t>Os Quatro Grandes</t>
  </si>
  <si>
    <t>Assassinato no Expresso do Oriente</t>
  </si>
  <si>
    <t>Ali Baba e os quarenta ladrões</t>
  </si>
  <si>
    <t>Carlos Heitor Cony</t>
  </si>
  <si>
    <t>Aladim e a lâmpada maravilhosa: Adaptação de um conto das Mil e Uma Noites</t>
  </si>
  <si>
    <t>O califa de Bagdá</t>
  </si>
  <si>
    <t>Sr. Boaventura</t>
  </si>
  <si>
    <t>Sindba o marujo</t>
  </si>
  <si>
    <t>Cadadad e seus irmaos</t>
  </si>
  <si>
    <t>Monteiro Lobato</t>
  </si>
  <si>
    <t>A princesa de deriabar</t>
  </si>
  <si>
    <t>O patinho feio e outras histórias</t>
  </si>
  <si>
    <t>Hans Christian Andersen</t>
  </si>
  <si>
    <t>O homem que falava javanês</t>
  </si>
  <si>
    <t>Lima Barreto</t>
  </si>
  <si>
    <t>O Silmarillion</t>
  </si>
  <si>
    <t>O Mistério dos Sete Relógios</t>
  </si>
  <si>
    <t>Jogos Vorazes -  Amanhecer na Colheita</t>
  </si>
  <si>
    <t>A Mulher De Trinta Anos</t>
  </si>
  <si>
    <t>A montanha do poder - Origem: Japão</t>
  </si>
  <si>
    <t>Patricia Engel Secco</t>
  </si>
  <si>
    <t>A sombra do vento</t>
  </si>
  <si>
    <t>E Não Sobrou Nenhum</t>
  </si>
  <si>
    <t>O Sol é para todos</t>
  </si>
  <si>
    <t>Os Testamentos</t>
  </si>
  <si>
    <t>Os Filhos de Húrin</t>
  </si>
  <si>
    <t>O fantástico senhor Raposo</t>
  </si>
  <si>
    <t>As Aventuras de Pinóquio: História de um Boneco</t>
  </si>
  <si>
    <t>A Biblioteca da Meia-Noite</t>
  </si>
  <si>
    <t xml:space="preserve">A Volta ao Mundo em 80 Dias </t>
  </si>
  <si>
    <t xml:space="preserve"> Jules Verne</t>
  </si>
  <si>
    <t>Memorias de Um Sargento de Milicias: Romance de Costumes Brasileiros...</t>
  </si>
  <si>
    <t>Manuel Antônio de Almeida</t>
  </si>
  <si>
    <t>talvez a sua jornada agora seja só sobre você: crônicas</t>
  </si>
  <si>
    <t>O Cão dos Baskerville</t>
  </si>
  <si>
    <t>As Nódoas de Sangue / O Último Adeus</t>
  </si>
  <si>
    <t>Adventure of the Abbey Grange</t>
  </si>
  <si>
    <t xml:space="preserve">A Tragédia do Glória Scott * O Estrela de Prata * O Tratado Naval </t>
  </si>
  <si>
    <t>Ancestrais de Avalon: as origens atlantes da poderosa ilha de Avalon</t>
  </si>
  <si>
    <t>Marion Zimmer Bradley, Diana L. Paxson</t>
  </si>
  <si>
    <t>Árvore e Folha</t>
  </si>
  <si>
    <t>Sonho de uma Noite de Verão</t>
  </si>
  <si>
    <t>&lt;01/01/1998</t>
  </si>
  <si>
    <t>1998</t>
  </si>
  <si>
    <t>1999</t>
  </si>
  <si>
    <t>2002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</si>
  <si>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</si>
  <si>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</si>
  <si>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</si>
  <si>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</si>
  <si>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</si>
  <si>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</si>
  <si>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</si>
  <si>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</si>
  <si>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</si>
  <si>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</si>
  <si>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</si>
  <si>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</si>
  <si>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</si>
  <si>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</si>
  <si>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</si>
  <si>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</si>
  <si>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</si>
  <si>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</si>
  <si>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</si>
  <si>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</si>
  <si>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</si>
  <si>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</si>
  <si>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Contagem de Data de Leitura</t>
  </si>
  <si>
    <t>Status na Estante</t>
  </si>
  <si>
    <t>Emprestado</t>
  </si>
  <si>
    <t>Doado</t>
  </si>
  <si>
    <t>Estante</t>
  </si>
  <si>
    <t>Vendido</t>
  </si>
  <si>
    <t>Sumiu</t>
  </si>
  <si>
    <t>A venda</t>
  </si>
  <si>
    <t>Biblioteca</t>
  </si>
  <si>
    <t>Alice no País das Maravilhas</t>
  </si>
  <si>
    <t>O Príncipe</t>
  </si>
  <si>
    <t>Plínio</t>
  </si>
  <si>
    <t>Coluna1</t>
  </si>
  <si>
    <t>Larissa</t>
  </si>
  <si>
    <t>Irradiação</t>
  </si>
  <si>
    <t>IFG</t>
  </si>
  <si>
    <t>UEG</t>
  </si>
  <si>
    <t>Amanda</t>
  </si>
  <si>
    <t>Helena</t>
  </si>
  <si>
    <t>Prof Uruguai</t>
  </si>
  <si>
    <t xml:space="preserve">Maris </t>
  </si>
  <si>
    <t>Aluna</t>
  </si>
  <si>
    <t>Internet</t>
  </si>
  <si>
    <t>Kindle</t>
  </si>
  <si>
    <t>Sesc</t>
  </si>
  <si>
    <t>Bibliotecaria</t>
  </si>
  <si>
    <t>Youtube</t>
  </si>
  <si>
    <t>Spotify</t>
  </si>
  <si>
    <t>Audible</t>
  </si>
  <si>
    <t>Lorena</t>
  </si>
  <si>
    <t>kindle</t>
  </si>
  <si>
    <t>Miguel</t>
  </si>
  <si>
    <t>%</t>
  </si>
  <si>
    <t>Status Lidos</t>
  </si>
  <si>
    <t>Harry Potter 1 - e a Pedra Filosofal - dobradura</t>
  </si>
  <si>
    <t>Harry Potter 2 - e a Camara Secreta - dobradura</t>
  </si>
  <si>
    <t>Harry Potter 3 - e o Prisioneiro de Askaban - dobradura</t>
  </si>
  <si>
    <t>Harry Potter - Os Contos de Beedle o Bardo - ilustrado</t>
  </si>
  <si>
    <t>Harry Potter -  Animais Fantásticos e Onde Habitam - ilustrado</t>
  </si>
  <si>
    <t>Harry Potter - Natal em Hogwarts - ilustrado</t>
  </si>
  <si>
    <t>Harry Potter 1 - e a Pedra Filosofal - ilustrado</t>
  </si>
  <si>
    <t>Harry Potter 2 - e a Camara Secreta - ilustrado</t>
  </si>
  <si>
    <t>Harry Potter 3 - e o Prisioneiro de Askaban - ilustrado</t>
  </si>
  <si>
    <t>Jim Kay</t>
  </si>
  <si>
    <t>Caninos Brancos</t>
  </si>
  <si>
    <t>Os 77 Melhores Contos de Hans Christian Andersen</t>
  </si>
  <si>
    <t>978-8520944295</t>
  </si>
  <si>
    <t>A impostora: Yellowface</t>
  </si>
  <si>
    <t>Babel: Ou a Necessidade da Violência</t>
  </si>
  <si>
    <t>Coraline</t>
  </si>
  <si>
    <t>Heidi: A Menina dos Alpes</t>
  </si>
  <si>
    <t>Harry Potter 2 - e a Câmara Secreta</t>
  </si>
  <si>
    <t>Harry Potter 3 - e o Prisioneiro de Askaban</t>
  </si>
  <si>
    <t>Harry Potter 4 - e o Cálice de Fogo</t>
  </si>
  <si>
    <t>Harry Potter 5 - e a Ordem da Fênix</t>
  </si>
  <si>
    <t>Harry Potter 7 - e as Relíquias da Morte</t>
  </si>
  <si>
    <t>Harry Potter 6 - e o Principe Mestiço</t>
  </si>
  <si>
    <t>Neil Gaiman</t>
  </si>
  <si>
    <t>Johanna Spyri</t>
  </si>
  <si>
    <t>Autêntica</t>
  </si>
  <si>
    <t>978-6559280667</t>
  </si>
  <si>
    <t>978-8551010075</t>
  </si>
  <si>
    <t>978-8551008997</t>
  </si>
  <si>
    <t>978-8551006757</t>
  </si>
  <si>
    <t>Desventuras em Série 1 - Mau Começo</t>
  </si>
  <si>
    <t>Desventuras em Série 4 - Serraria Baixo-Astral</t>
  </si>
  <si>
    <t>Desventuras em Série 5 - Inferno no Colégio Interno</t>
  </si>
  <si>
    <t>Desventuras em Série 6 - O Elevador Ersatz</t>
  </si>
  <si>
    <t>Desventuras em Série 7 - A Cidade Sinistra dos Corvos</t>
  </si>
  <si>
    <t>Desventuras em Série 8 - O Hospital Hostil</t>
  </si>
  <si>
    <t>Desventuras em Série 9 - O Espetáculo Carnívoro</t>
  </si>
  <si>
    <t>Desventuras em Série 10 - O Escorregador de Gelo</t>
  </si>
  <si>
    <t>Desventuras em Série 11 - A Gruta Gorgônea</t>
  </si>
  <si>
    <t>Desventuras em Série 12 - O Penúltimo Perigo</t>
  </si>
  <si>
    <t>Desventuras em Série 13 - O Fim</t>
  </si>
  <si>
    <t>Relendo</t>
  </si>
  <si>
    <t>Crônicas de Âmbar 1 - Os Nove Príncipes de Âmbar</t>
  </si>
  <si>
    <t>Crônicas de Âmbar 2 - As Armas de Avalon</t>
  </si>
  <si>
    <t>Crônicas de Âmbar 3 - O Sinal do Unicórnio</t>
  </si>
  <si>
    <t>Crônicas de Âmbar 4 - A Mão de Oberon</t>
  </si>
  <si>
    <t>Crônicas de Âmbar 5 - As Cortes do Caos</t>
  </si>
  <si>
    <t>Crônicas de Âmbar 6 - Trunfos do Destino</t>
  </si>
  <si>
    <t>Crônicas de Âmbar 7 - O Sangue de Âmbar</t>
  </si>
  <si>
    <t>Crônicas de Âmbar 8 - O Sinal do Caos</t>
  </si>
  <si>
    <t>Crônicas de Âmbar 9 - Cavaleiro das Sombras</t>
  </si>
  <si>
    <t>Crônicas de Âmbar 10 - Príncipe do Caos</t>
  </si>
  <si>
    <t>Roger Zelazny</t>
  </si>
  <si>
    <t>As Minas do Rei Salomão</t>
  </si>
  <si>
    <t>Henry Rider Haggard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</si>
</sst>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F111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rgb="FF0F111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5" fillId="0" borderId="0" xfId="2" applyFont="1"/>
    <xf numFmtId="9" fontId="0" fillId="0" borderId="0" xfId="1" applyFont="1"/>
    <xf numFmtId="164" fontId="0" fillId="0" borderId="0" xfId="1" applyNumberFormat="1" applyFont="1"/>
    <xf numFmtId="0" fontId="0" fillId="0" borderId="0" xfId="0" pivotButton="1"/>
    <xf numFmtId="14" fontId="0" fillId="0" borderId="0" xfId="0" applyNumberForma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left"/>
    </xf>
    <xf numFmtId="0" fontId="6" fillId="0" borderId="1" xfId="0" applyFont="1" applyBorder="1"/>
    <xf numFmtId="0" fontId="6" fillId="0" borderId="3" xfId="0" applyFont="1" applyBorder="1"/>
    <xf numFmtId="0" fontId="0" fillId="0" borderId="4" xfId="0" applyBorder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 applyNumberFormat="1"/>
  </cellXfs>
  <cellStyles count="3">
    <cellStyle name="Hiperlink" xfId="2" builtinId="8"/>
    <cellStyle name="Normal" xfId="0" builtinId="0"/>
    <cellStyle name="Porcentagem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'Estatisticas de Leitura'!$A$20:$A$26</c:f>
              <c:strCache>
                <c:ptCount val="7"/>
                <c:pt idx="0">
                  <c:v>Estante</c:v>
                </c:pt>
                <c:pt idx="1">
                  <c:v>Emprestado</c:v>
                </c:pt>
                <c:pt idx="2">
                  <c:v>Biblioteca</c:v>
                </c:pt>
                <c:pt idx="3">
                  <c:v>Doado</c:v>
                </c:pt>
                <c:pt idx="4">
                  <c:v>Vendido</c:v>
                </c:pt>
                <c:pt idx="5">
                  <c:v>A venda</c:v>
                </c:pt>
                <c:pt idx="6">
                  <c:v>Sumiu</c:v>
                </c:pt>
              </c:strCache>
            </c:strRef>
          </c:cat>
          <c:val>
            <c:numRef>
              <c:f>'Estatisticas de Leitura'!$B$20:$B$26</c:f>
              <c:numCache>
                <c:formatCode>General</c:formatCode>
                <c:ptCount val="7"/>
                <c:pt idx="0">
                  <c:v>109</c:v>
                </c:pt>
                <c:pt idx="1">
                  <c:v>68</c:v>
                </c:pt>
                <c:pt idx="2">
                  <c:v>61</c:v>
                </c:pt>
                <c:pt idx="3">
                  <c:v>14</c:v>
                </c:pt>
                <c:pt idx="4">
                  <c:v>2</c:v>
                </c:pt>
                <c:pt idx="5">
                  <c:v>11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F-40E4-AA0B-70F31E6B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0126320"/>
        <c:axId val="2090111920"/>
      </c:barChart>
      <c:valAx>
        <c:axId val="209011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0126320"/>
        <c:crosses val="autoZero"/>
        <c:crossBetween val="between"/>
      </c:valAx>
      <c:catAx>
        <c:axId val="2090126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0111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'Estatisticas de Leitura'!$B$1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A-4844-B787-6CE0681C6A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A-4844-B787-6CE0681C6A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8A-4844-B787-6CE0681C6A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8A-4844-B787-6CE0681C6A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8A-4844-B787-6CE0681C6A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'Estatisticas de Leitura'!$A$2:$A$6</c:f>
              <c:strCache>
                <c:ptCount val="5"/>
                <c:pt idx="0">
                  <c:v>Sim</c:v>
                </c:pt>
                <c:pt idx="1">
                  <c:v>Não</c:v>
                </c:pt>
                <c:pt idx="2">
                  <c:v>Abandonado</c:v>
                </c:pt>
                <c:pt idx="3">
                  <c:v>Lendo</c:v>
                </c:pt>
                <c:pt idx="4">
                  <c:v>Relendo</c:v>
                </c:pt>
              </c:strCache>
            </c:strRef>
          </c:cat>
          <c:val>
            <c:numRef>
              <c:f>'Estatisticas de Leitura'!$B$2:$B$6</c:f>
              <c:numCache>
                <c:formatCode>General</c:formatCode>
                <c:ptCount val="5"/>
                <c:pt idx="0">
                  <c:v>120</c:v>
                </c:pt>
                <c:pt idx="1">
                  <c:v>189</c:v>
                </c:pt>
                <c:pt idx="2">
                  <c:v>13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0-420B-AFD6-87326EF301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[Livros na Estante.xlsx]Ano compra!Tabela dinâmica1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'Ano compra'!$B$3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'Ano compra'!$A$4:$A$14</c:f>
              <c:strCache>
                <c:ptCount val="10"/>
                <c:pt idx="0">
                  <c:v>2015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(vazio)</c:v>
                </c:pt>
              </c:strCache>
            </c:strRef>
          </c:cat>
          <c:val>
            <c:numRef>
              <c:f>'Ano compra'!$B$4:$B$14</c:f>
              <c:numCache>
                <c:formatCode>General</c:formatCode>
                <c:ptCount val="10"/>
                <c:pt idx="0">
                  <c:v>3</c:v>
                </c:pt>
                <c:pt idx="1">
                  <c:v>10</c:v>
                </c:pt>
                <c:pt idx="2">
                  <c:v>2</c:v>
                </c:pt>
                <c:pt idx="3">
                  <c:v>8</c:v>
                </c:pt>
                <c:pt idx="4">
                  <c:v>10</c:v>
                </c:pt>
                <c:pt idx="5">
                  <c:v>45</c:v>
                </c:pt>
                <c:pt idx="6">
                  <c:v>7</c:v>
                </c:pt>
                <c:pt idx="7">
                  <c:v>15</c:v>
                </c:pt>
                <c:pt idx="8">
                  <c:v>76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2-4472-89F9-3DCE1E7A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726112"/>
        <c:axId val="2015221744"/>
        <c:axId val="0"/>
      </c:bar3DChart>
      <c:catAx>
        <c:axId val="317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5221744"/>
        <c:crosses val="autoZero"/>
        <c:auto val="1"/>
        <c:lblAlgn val="ctr"/>
        <c:lblOffset val="100"/>
        <c:noMultiLvlLbl val="0"/>
      </c:catAx>
      <c:valAx>
        <c:axId val="20152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2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[Livros na Estante.xlsx]Lidos Ano!Tabela dinâmica5</c:name>
    <c:fmtId val="19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'Lidos Ano'!$B$3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'Lidos Ano'!$A$4:$A$30</c:f>
              <c:strCache>
                <c:ptCount val="26"/>
                <c:pt idx="0">
                  <c:v>&lt;01/01/1998</c:v>
                </c:pt>
                <c:pt idx="1">
                  <c:v>1998</c:v>
                </c:pt>
                <c:pt idx="2">
                  <c:v>1999</c:v>
                </c:pt>
                <c:pt idx="3">
                  <c:v>2002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strCache>
            </c:strRef>
          </c:cat>
          <c:val>
            <c:numRef>
              <c:f>'Lidos Ano'!$B$4:$B$30</c:f>
              <c:numCache>
                <c:formatCode>General</c:formatCode>
                <c:ptCount val="26"/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14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14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13</c:v>
                </c:pt>
                <c:pt idx="18">
                  <c:v>21</c:v>
                </c:pt>
                <c:pt idx="19">
                  <c:v>12</c:v>
                </c:pt>
                <c:pt idx="20">
                  <c:v>35</c:v>
                </c:pt>
                <c:pt idx="21">
                  <c:v>20</c:v>
                </c:pt>
                <c:pt idx="22">
                  <c:v>12</c:v>
                </c:pt>
                <c:pt idx="23">
                  <c:v>19</c:v>
                </c:pt>
                <c:pt idx="24">
                  <c:v>35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2-4FD4-ADCD-5F8E6A55A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144128"/>
        <c:axId val="2090145088"/>
      </c:lineChart>
      <c:catAx>
        <c:axId val="2090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0145088"/>
        <c:crosses val="autoZero"/>
        <c:auto val="1"/>
        <c:lblAlgn val="ctr"/>
        <c:lblOffset val="100"/>
        <c:noMultiLvlLbl val="0"/>
      </c:catAx>
      <c:valAx>
        <c:axId val="20901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0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[Livros na Estante.xlsx]Lidos Ano!Tabela dinâmica5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'Lidos Ano'!$B$3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'Lidos Ano'!$A$4:$A$30</c:f>
              <c:strCache>
                <c:ptCount val="26"/>
                <c:pt idx="0">
                  <c:v>&lt;01/01/1998</c:v>
                </c:pt>
                <c:pt idx="1">
                  <c:v>1998</c:v>
                </c:pt>
                <c:pt idx="2">
                  <c:v>1999</c:v>
                </c:pt>
                <c:pt idx="3">
                  <c:v>2002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</c:strCache>
            </c:strRef>
          </c:cat>
          <c:val>
            <c:numRef>
              <c:f>'Lidos Ano'!$B$4:$B$30</c:f>
              <c:numCache>
                <c:formatCode>General</c:formatCode>
                <c:ptCount val="26"/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14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14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5</c:v>
                </c:pt>
                <c:pt idx="17">
                  <c:v>13</c:v>
                </c:pt>
                <c:pt idx="18">
                  <c:v>21</c:v>
                </c:pt>
                <c:pt idx="19">
                  <c:v>12</c:v>
                </c:pt>
                <c:pt idx="20">
                  <c:v>35</c:v>
                </c:pt>
                <c:pt idx="21">
                  <c:v>20</c:v>
                </c:pt>
                <c:pt idx="22">
                  <c:v>12</c:v>
                </c:pt>
                <c:pt idx="23">
                  <c:v>19</c:v>
                </c:pt>
                <c:pt idx="24">
                  <c:v>35</c:v>
                </c:pt>
                <c:pt idx="2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4-44BD-B254-A75DACB34D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320336"/>
        <c:axId val="33321296"/>
        <c:axId val="0"/>
      </c:bar3DChart>
      <c:catAx>
        <c:axId val="3332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1296"/>
        <c:crosses val="autoZero"/>
        <c:auto val="1"/>
        <c:lblAlgn val="ctr"/>
        <c:lblOffset val="100"/>
        <c:noMultiLvlLbl val="0"/>
      </c:catAx>
      <c:valAx>
        <c:axId val="333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17</xdr:row>
      <xdr:rowOff>26670</xdr:rowOff>
    </xdr:from>
    <xdr:to>
      <xdr:col>9</xdr:col>
      <xdr:colOff>259080</xdr:colOff>
      <xdr:row>29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BA00BB-7F46-1FC3-7709-53FEA5C89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0</xdr:row>
      <xdr:rowOff>95250</xdr:rowOff>
    </xdr:from>
    <xdr:to>
      <xdr:col>10</xdr:col>
      <xdr:colOff>99060</xdr:colOff>
      <xdr:row>14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3B0B1B-0E92-E81B-A013-3B22F64F7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300990</xdr:colOff>
      <xdr:row>1</xdr:row>
      <xdr:rowOff>129540</xdr:rowOff>
    </xdr:from>
    <xdr:to>
      <xdr:col>9</xdr:col>
      <xdr:colOff>274320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7E80B6-32FE-EA87-54F3-0CDF5F025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290513</xdr:colOff>
      <xdr:row>2</xdr:row>
      <xdr:rowOff>4763</xdr:rowOff>
    </xdr:from>
    <xdr:to>
      <xdr:col>7</xdr:col>
      <xdr:colOff>223838</xdr:colOff>
      <xdr:row>17</xdr:row>
      <xdr:rowOff>33338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DA08EE-D62A-C154-8F43-256B72FE6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261938</xdr:colOff>
      <xdr:row>17</xdr:row>
      <xdr:rowOff>71438</xdr:rowOff>
    </xdr:from>
    <xdr:to>
      <xdr:col>7</xdr:col>
      <xdr:colOff>195263</xdr:colOff>
      <xdr:row>32</xdr:row>
      <xdr:rowOff>100013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C32AE76-A4CB-B0D9-0CF4-AFD194022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en" refreshedDate="46237.054358333335" createdVersion="8" refreshedVersion="8" minRefreshableVersion="3" recordCount="1007" xr:uid="{DD95AD5E-2292-435C-86AD-6A1695A0F5E2}">
  <cacheSource type="worksheet">
    <worksheetSource name="Tabela2"/>
  </cacheSource>
  <cacheFields count="6">
    <cacheField name="Nome" numFmtId="0">
      <sharedItems containsBlank="1" containsMixedTypes="1" containsNumber="1" containsInteger="1" minValue="1984" maxValue="1984"/>
    </cacheField>
    <cacheField name="Autor" numFmtId="0">
      <sharedItems containsBlank="1" count="167">
        <s v="George Orwell"/>
        <s v="Joseph Conrad"/>
        <s v="Edgar Allan Poe"/>
        <s v="Lord Byron"/>
        <s v="Luigi Pirandello"/>
        <s v="Italo Svevo"/>
        <s v="Esopo"/>
        <s v="Honoré de Balzac"/>
        <s v="Torquato Tasso"/>
        <s v="Anônimo"/>
        <s v="Daniel Defoe"/>
        <s v="Gustave Flaubert"/>
        <s v="Victor Hugo"/>
        <s v="Fiódor Dostoiévski"/>
        <s v="Ivan Turguêniev"/>
        <s v="Machado de Assis"/>
        <s v="Graciliano Ramos"/>
        <s v="Xavier de Maistre"/>
        <s v="Johann Wolfgang von Goethe"/>
        <s v="Jack London"/>
        <s v="Gil Vicente"/>
        <s v="Khaled Hosseini"/>
        <s v="Miyamoto Musashi"/>
        <s v="Matt Haig"/>
        <s v="Taylor Jenkins Reid"/>
        <s v="Sam Meekings"/>
        <s v="Colleen Hoover"/>
        <s v="Adam Silvera"/>
        <s v="John Grogan"/>
        <s v="João Guimarães Rosa"/>
        <s v="Euclides da Cunha"/>
        <s v="Clarice Lispector"/>
        <s v="José Mauro de Vasconcelos"/>
        <s v="Carla Madeira"/>
        <s v="Marçal Aquino"/>
        <s v="Paulo Coelho"/>
        <s v="Antonio Walter Santim"/>
        <s v="Ciro Gomes"/>
        <s v="Fernando Pessoa"/>
        <s v="Teresinha de Jesus Almeida"/>
        <s v="Mark Lawrence"/>
        <s v="Robert Louis Stevenson"/>
        <s v="Mary Shelley"/>
        <s v="Emily Brontë"/>
        <s v="Bram Stoker"/>
        <s v="J. Sheridan Le Fanu"/>
        <s v="Michael Sanches"/>
        <s v="Guillermo del Toro e Cornelia Funke"/>
        <s v="Shari Lapena"/>
        <s v="Alex Michaelides"/>
        <s v="J. K. Rowling"/>
        <s v="Arthur Conan Doyle"/>
        <s v="Justin Somper"/>
        <s v="Yei Theodora Ozaki"/>
        <s v="Charlotte Brontë"/>
        <s v="Herman Melville"/>
        <s v="Jane Austen"/>
        <s v="Alexandre Dumas"/>
        <s v="William Shakespeare"/>
        <s v="Nathaniel Hawthorne"/>
        <s v="Malba Tahan"/>
        <s v="Miguel de Cervantes"/>
        <s v="Franz Kafka"/>
        <s v="Friedrich Nietzsche"/>
        <s v="William Golding"/>
        <s v="Ernest Hemingway"/>
        <s v="Harper Lee"/>
        <s v="Virginia Woolf"/>
        <s v="John Boyne"/>
        <s v="Rick Riordan"/>
        <s v="Philip Pullman"/>
        <s v="Patrick Rothfuss"/>
        <s v="Agatha Christie"/>
        <s v="R. F. Kuang"/>
        <s v="Stieg Larsson"/>
        <s v="Carlos Ruiz Zafón"/>
        <s v="Marion Zimmer Bradley e Diana L. Paxson"/>
        <s v="Marion Zimmer Bradley "/>
        <s v="L. M. Montgomery"/>
        <s v="John Flanagan"/>
        <s v="Cecelia Ahern"/>
        <s v="William Kamkwamba e Bryan Mealer"/>
        <s v="Douglas Adams"/>
        <s v="Ursula K. Le Guin"/>
        <s v="Margaret Atwood"/>
        <s v="Suzanne Collins"/>
        <s v="Koushun Takami"/>
        <s v="Aldous Huxley"/>
        <s v="Ray Bradbury"/>
        <s v="Art Spiegelman"/>
        <s v="Denton J. Tipton"/>
        <s v="J. R. R. Tolkien"/>
        <s v="Yuval Noah Harari"/>
        <s v="Ai Yazawa"/>
        <s v="Mamede Mustafa Jarouche"/>
        <s v="Cornelia Funke"/>
        <s v="Michelly Gassmann"/>
        <s v="Katherine Paterson"/>
        <s v="Lao She"/>
        <s v="Jules Verne"/>
        <s v="Charles Dickens"/>
        <s v="Howard Pyle"/>
        <s v="George MacDonald"/>
        <s v="James Knowles"/>
        <s v="Frances Hodgson Burnett"/>
        <s v="Eleanor H. Porter"/>
        <s v="L. Frank Baum"/>
        <s v="Carlo Collodi"/>
        <s v="Antoine de Saint-Exupéry"/>
        <s v="Adriana Carranca"/>
        <s v="Maurice Druon"/>
        <s v="Kobi Yamada"/>
        <s v="Lewis Carroll"/>
        <s v="Roald Dahl"/>
        <s v="E. B. White"/>
        <s v="Mirna Pinsky"/>
        <s v="Lúcia Hiratsuka"/>
        <s v="Ziraldo"/>
        <s v="Corinna Luyken"/>
        <s v="Rita Lee"/>
        <s v="Jo Yong; Jam San"/>
        <s v="Patrícia Engel Secco"/>
        <s v="Regina Coeli Rennó"/>
        <s v="Rodowsky/Bates"/>
        <s v="Ana Beatriz Barbosa Silva"/>
        <s v="Ana Claudia Quintana Arantes"/>
        <s v="Antonio Augusto Cunha"/>
        <s v="Silvia Cranston"/>
        <s v="Helena P. Blavatsky"/>
        <s v="Dalai Lama"/>
        <s v="Richard Bach"/>
        <s v="Lao-Tsé"/>
        <s v="Geshe Kelsang Gyatso"/>
        <s v="Masanobu Taniguchi"/>
        <s v="Carlos Henrique; psicografia de Angelo Dias"/>
        <s v="Francisco Cândido Xavier; Emmanuel"/>
        <s v="Allan Kardec"/>
        <s v="Irmão José; psicografia de Carlos A. Baccelli"/>
        <s v="C. Torres Pastorino"/>
        <s v="Masaharu Taniguchi"/>
        <s v="Gabriel Garcia Marquez"/>
        <s v="Diana Wynne Jones"/>
        <s v="SenLinYu"/>
        <s v="John Steinbeck"/>
        <s v="Aleksandr Grin"/>
        <s v="Maggie O'Farrell"/>
        <s v="Marcelo Rubens Paiva"/>
        <s v="Thomas Mann"/>
        <s v="Holly Black"/>
        <s v="Beatrix Potter"/>
        <s v="José Saramago"/>
        <s v="Hans Christian Andersen"/>
        <s v="Neil Gaiman"/>
        <s v="Johanna Spyri"/>
        <s v="Lemony Snicket"/>
        <s v="Roger Zelazny"/>
        <m/>
        <s v="Iandê Albuquerque" u="1"/>
        <s v="Diversos" u="1"/>
        <s v="Anônimo " u="1"/>
        <s v="Desconhecido" u="1"/>
        <s v="Anônimo; tradução de Mamede Mustafa Jarouche" u="1"/>
        <s v="J.R.R. Tolkien" u="1"/>
        <s v="J. R. R. Tolkien; Charles Dixon; David Wenzel" u="1"/>
        <s v="Yuval Noah Harari; David Vandermeulen; Daniel Casanave" u="1"/>
        <s v="J. R. R. Tolkien; Christopher Tolkien" u="1"/>
        <s v="J. R. R. Tolkien; Brian Sibley" u="1"/>
      </sharedItems>
    </cacheField>
    <cacheField name="Editora" numFmtId="0">
      <sharedItems containsBlank="1" count="47">
        <s v="Clube de Literatura Clássica"/>
        <s v="L&amp;PM"/>
        <s v="Nova Fronteira"/>
        <s v="Pé da Letra"/>
        <s v="Bertrand Brasil"/>
        <s v="Paralela"/>
        <s v="Argumento"/>
        <s v="Galera Record"/>
        <s v="Intrinseca"/>
        <s v="Pockt Ouro"/>
        <s v="Companhia das Letras"/>
        <s v="Principis"/>
        <s v="Record"/>
        <s v="Rocco"/>
        <s v="Melhoramentos"/>
        <s v="Companhia das Letras "/>
        <s v="Planeta"/>
        <s v="Edição do Autor"/>
        <s v="Leya"/>
        <s v="Darkside"/>
        <s v="Pandorga"/>
        <s v="Grua Livros"/>
        <s v="Galera"/>
        <s v="Montena"/>
        <s v="Zahar"/>
        <s v="Martin Claret"/>
        <s v="Penguin e Companhia"/>
        <s v="Alfaguara"/>
        <s v="José Olympio"/>
        <s v="Lafonte"/>
        <s v="Seguinte"/>
        <s v="Suma"/>
        <s v="Arqueiro"/>
        <s v="Harper Collins"/>
        <s v="Globo"/>
        <s v="Planeta Minotauro"/>
        <s v="Fundamentos"/>
        <m/>
        <s v="Biblioteca Azul"/>
        <s v="MinaLima"/>
        <s v="Jim Kay"/>
        <s v="Literare Books Internacional"/>
        <s v="FDT"/>
        <s v="Oca"/>
        <s v="FSG"/>
        <s v="Companhia das Letrinhas"/>
        <s v="Autêntica"/>
      </sharedItems>
    </cacheField>
    <cacheField name="ISBN" numFmtId="0">
      <sharedItems containsBlank="1"/>
    </cacheField>
    <cacheField name="Ano-Compra" numFmtId="0">
      <sharedItems containsString="0" containsBlank="1" containsNumber="1" containsInteger="1" minValue="2015" maxValue="2026" count="10">
        <n v="2023"/>
        <m/>
        <n v="2020"/>
        <n v="2015"/>
        <n v="2019"/>
        <n v="2026"/>
        <n v="2025"/>
        <n v="2018"/>
        <n v="2024"/>
        <n v="2022"/>
      </sharedItems>
    </cacheField>
    <cacheField name="Li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en" refreshedDate="46237.054407870368" createdVersion="8" refreshedVersion="8" minRefreshableVersion="3" recordCount="288" xr:uid="{60C972D6-A2DD-4E6C-B16E-135B7DABCB73}">
  <cacheSource type="worksheet">
    <worksheetSource ref="A1:C1048576" sheet="Lidos"/>
  </cacheSource>
  <cacheFields count="6">
    <cacheField name="Nome" numFmtId="0">
      <sharedItems containsBlank="1" containsMixedTypes="1" containsNumber="1" containsInteger="1" minValue="1984" maxValue="1984"/>
    </cacheField>
    <cacheField name="Autor" numFmtId="0">
      <sharedItems containsBlank="1"/>
    </cacheField>
    <cacheField name="Data de Leitura" numFmtId="0">
      <sharedItems containsNonDate="0" containsDate="1" containsString="0" containsBlank="1" minDate="1998-01-01T00:00:00" maxDate="2026-07-11T00:00:00" count="169">
        <d v="1998-01-01T00:00:00"/>
        <d v="1999-01-01T00:00:00"/>
        <d v="2002-01-01T00:00:00"/>
        <d v="2002-04-01T00:00:00"/>
        <d v="2004-01-01T00:00:00"/>
        <d v="2005-01-01T00:00:00"/>
        <d v="2006-01-01T00:00:00"/>
        <d v="2007-01-01T00:00:00"/>
        <d v="2008-01-01T00:00:00"/>
        <d v="2009-01-01T00:00:00"/>
        <d v="2010-01-01T00:00:00"/>
        <d v="2012-01-01T00:00:00"/>
        <d v="2013-01-01T00:00:00"/>
        <d v="2014-01-01T00:00:00"/>
        <d v="2015-01-01T00:00:00"/>
        <d v="2016-01-01T00:00:00"/>
        <d v="2017-01-01T00:00:00"/>
        <d v="2018-01-01T00:00:00"/>
        <d v="2019-01-01T00:00:00"/>
        <d v="2019-01-04T00:00:00"/>
        <d v="2019-01-05T00:00:00"/>
        <d v="2019-01-13T00:00:00"/>
        <d v="2019-01-26T00:00:00"/>
        <d v="2019-01-28T00:00:00"/>
        <d v="2019-02-02T00:00:00"/>
        <d v="2019-02-07T00:00:00"/>
        <d v="2019-03-31T00:00:00"/>
        <d v="2019-04-07T00:00:00"/>
        <d v="2019-04-21T00:00:00"/>
        <d v="2019-05-06T00:00:00"/>
        <d v="2019-05-11T00:00:00"/>
        <d v="2019-05-13T00:00:00"/>
        <d v="2019-06-18T00:00:00"/>
        <d v="2019-07-22T00:00:00"/>
        <d v="2019-07-25T00:00:00"/>
        <d v="2019-08-09T00:00:00"/>
        <d v="2019-11-01T00:00:00"/>
        <d v="2019-11-08T00:00:00"/>
        <d v="2019-12-19T00:00:00"/>
        <d v="2020-01-24T00:00:00"/>
        <d v="2020-01-30T00:00:00"/>
        <d v="2020-02-23T00:00:00"/>
        <d v="2020-04-06T00:00:00"/>
        <d v="2020-04-08T00:00:00"/>
        <d v="2020-07-25T00:00:00"/>
        <d v="2020-08-09T00:00:00"/>
        <d v="2020-08-12T00:00:00"/>
        <d v="2020-12-12T00:00:00"/>
        <d v="2020-12-28T00:00:00"/>
        <d v="2020-12-31T00:00:00"/>
        <d v="2021-01-06T00:00:00"/>
        <d v="2021-01-26T00:00:00"/>
        <d v="2021-05-12T00:00:00"/>
        <d v="2021-05-25T00:00:00"/>
        <d v="2021-05-28T00:00:00"/>
        <d v="2021-05-29T00:00:00"/>
        <d v="2021-06-09T00:00:00"/>
        <d v="2021-06-20T00:00:00"/>
        <d v="2021-06-27T00:00:00"/>
        <d v="2021-06-28T00:00:00"/>
        <d v="2021-07-04T00:00:00"/>
        <d v="2021-07-07T00:00:00"/>
        <d v="2021-07-17T00:00:00"/>
        <d v="2021-08-20T00:00:00"/>
        <d v="2021-09-03T00:00:00"/>
        <d v="2021-09-05T00:00:00"/>
        <d v="2021-09-13T00:00:00"/>
        <d v="2021-09-29T00:00:00"/>
        <d v="2021-10-04T00:00:00"/>
        <d v="2021-10-05T00:00:00"/>
        <d v="2021-10-06T00:00:00"/>
        <d v="2021-10-10T00:00:00"/>
        <d v="2021-10-19T00:00:00"/>
        <d v="2021-11-11T00:00:00"/>
        <d v="2021-11-15T00:00:00"/>
        <d v="2021-11-20T00:00:00"/>
        <d v="2021-11-21T00:00:00"/>
        <d v="2021-12-14T00:00:00"/>
        <d v="2022-01-01T00:00:00"/>
        <d v="2022-01-07T00:00:00"/>
        <d v="2022-01-08T00:00:00"/>
        <d v="2022-01-14T00:00:00"/>
        <d v="2022-01-29T00:00:00"/>
        <d v="2022-01-31T00:00:00"/>
        <d v="2022-02-13T00:00:00"/>
        <d v="2022-03-01T00:00:00"/>
        <d v="2022-07-21T00:00:00"/>
        <d v="2022-07-31T00:00:00"/>
        <d v="2022-10-30T00:00:00"/>
        <d v="2022-11-03T00:00:00"/>
        <d v="2023-01-13T00:00:00"/>
        <d v="2023-04-17T00:00:00"/>
        <d v="2023-05-24T00:00:00"/>
        <d v="2023-05-31T00:00:00"/>
        <d v="2023-07-01T00:00:00"/>
        <d v="2024-01-01T00:00:00"/>
        <d v="2024-01-31T00:00:00"/>
        <d v="2024-02-12T00:00:00"/>
        <d v="2024-02-13T00:00:00"/>
        <d v="2024-08-24T00:00:00"/>
        <d v="2024-10-21T00:00:00"/>
        <d v="2024-10-28T00:00:00"/>
        <d v="2024-10-31T00:00:00"/>
        <d v="2024-11-17T00:00:00"/>
        <d v="2024-11-21T00:00:00"/>
        <d v="2024-11-27T00:00:00"/>
        <d v="2024-12-03T00:00:00"/>
        <d v="2024-12-12T00:00:00"/>
        <d v="2024-12-30T00:00:00"/>
        <d v="2025-01-10T00:00:00"/>
        <d v="2025-01-11T00:00:00"/>
        <d v="2025-02-16T00:00:00"/>
        <d v="2025-03-04T00:00:00"/>
        <d v="2025-03-06T00:00:00"/>
        <d v="2025-03-31T00:00:00"/>
        <d v="2025-04-01T00:00:00"/>
        <d v="2025-04-30T00:00:00"/>
        <d v="2025-05-01T00:00:00"/>
        <d v="2025-05-02T00:00:00"/>
        <d v="2025-05-29T00:00:00"/>
        <d v="2025-06-09T00:00:00"/>
        <d v="2025-06-15T00:00:00"/>
        <d v="2025-06-16T00:00:00"/>
        <d v="2025-06-30T00:00:00"/>
        <d v="2025-07-04T00:00:00"/>
        <d v="2025-08-01T00:00:00"/>
        <d v="2025-08-25T00:00:00"/>
        <d v="2025-09-06T00:00:00"/>
        <d v="2025-09-12T00:00:00"/>
        <d v="2025-10-15T00:00:00"/>
        <d v="2025-11-03T00:00:00"/>
        <d v="2025-11-06T00:00:00"/>
        <d v="2025-11-08T00:00:00"/>
        <d v="2025-11-09T00:00:00"/>
        <d v="2025-11-13T00:00:00"/>
        <d v="2025-11-14T00:00:00"/>
        <d v="2025-11-17T00:00:00"/>
        <d v="2025-11-20T00:00:00"/>
        <d v="2025-11-24T00:00:00"/>
        <d v="2025-12-16T00:00:00"/>
        <d v="2025-12-23T00:00:00"/>
        <d v="2026-01-09T00:00:00"/>
        <d v="2026-01-22T00:00:00"/>
        <d v="2026-01-25T00:00:00"/>
        <d v="2026-01-28T00:00:00"/>
        <d v="2026-01-30T00:00:00"/>
        <d v="2026-01-31T00:00:00"/>
        <d v="2026-02-01T00:00:00"/>
        <d v="2026-02-04T00:00:00"/>
        <d v="2026-02-09T00:00:00"/>
        <d v="2026-03-03T00:00:00"/>
        <d v="2026-03-11T00:00:00"/>
        <d v="2026-03-16T00:00:00"/>
        <d v="2026-03-17T00:00:00"/>
        <d v="2026-03-26T00:00:00"/>
        <d v="2026-04-06T00:00:00"/>
        <d v="2026-04-13T00:00:00"/>
        <d v="2026-04-17T00:00:00"/>
        <d v="2026-04-18T00:00:00"/>
        <d v="2026-04-19T00:00:00"/>
        <d v="2026-04-20T00:00:00"/>
        <d v="2026-04-29T00:00:00"/>
        <d v="2026-05-06T00:00:00"/>
        <d v="2026-05-23T00:00:00"/>
        <d v="2026-06-04T00:00:00"/>
        <d v="2026-06-11T00:00:00"/>
        <d v="2026-07-06T00:00:00"/>
        <d v="2026-07-10T00:00:00"/>
        <m/>
      </sharedItems>
      <fieldGroup par="5"/>
    </cacheField>
    <cacheField name="Meses (Data de Leitura)" numFmtId="0" databaseField="0">
      <fieldGroup base="2">
        <rangePr groupBy="months" startDate="1998-01-01T00:00:00" endDate="2026-07-11T00:00:00"/>
        <groupItems count="14">
          <s v="&lt;01/01/199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7/2026"/>
        </groupItems>
      </fieldGroup>
    </cacheField>
    <cacheField name="Trimestres (Data de Leitura)" numFmtId="0" databaseField="0">
      <fieldGroup base="2">
        <rangePr groupBy="quarters" startDate="1998-01-01T00:00:00" endDate="2026-07-11T00:00:00"/>
        <groupItems count="6">
          <s v="&lt;01/01/1998"/>
          <s v="Trim1"/>
          <s v="Trim2"/>
          <s v="Trim3"/>
          <s v="Trim4"/>
          <s v="&gt;11/07/2026"/>
        </groupItems>
      </fieldGroup>
    </cacheField>
    <cacheField name="Anos (Data de Leitura)" numFmtId="0" databaseField="0">
      <fieldGroup base="2">
        <rangePr groupBy="years" startDate="1998-01-01T00:00:00" endDate="2026-07-11T00:00:00"/>
        <groupItems count="31">
          <s v="&lt;01/01/1998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1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n v="1984"/>
    <x v="0"/>
    <x v="0"/>
    <m/>
    <x v="0"/>
    <s v="Sim"/>
  </r>
  <r>
    <s v="Coração das Trevas"/>
    <x v="1"/>
    <x v="0"/>
    <m/>
    <x v="0"/>
    <s v="Abandonado"/>
  </r>
  <r>
    <s v="Contos do Grotesco e do Arabesco"/>
    <x v="2"/>
    <x v="0"/>
    <m/>
    <x v="0"/>
    <s v="Abandonado"/>
  </r>
  <r>
    <s v="Don Juan"/>
    <x v="3"/>
    <x v="0"/>
    <s v="978-658-7036-75-5"/>
    <x v="0"/>
    <s v="Não"/>
  </r>
  <r>
    <s v="O Finado Mattia Pascal"/>
    <x v="4"/>
    <x v="0"/>
    <s v="978-65-87036-76-2"/>
    <x v="0"/>
    <s v="Não"/>
  </r>
  <r>
    <s v="A Conciência de Zeno"/>
    <x v="5"/>
    <x v="0"/>
    <m/>
    <x v="0"/>
    <s v="Não"/>
  </r>
  <r>
    <s v="Fábulas de Esopo"/>
    <x v="6"/>
    <x v="0"/>
    <s v="978-65-87036-88-5"/>
    <x v="0"/>
    <s v="Não"/>
  </r>
  <r>
    <s v="Ilusões Perdidas"/>
    <x v="7"/>
    <x v="0"/>
    <s v="978-65-87036-74-8"/>
    <x v="0"/>
    <s v="Não"/>
  </r>
  <r>
    <s v="Jerusalem Libertada"/>
    <x v="8"/>
    <x v="0"/>
    <s v="978-65-87036-33-5"/>
    <x v="0"/>
    <s v="Não"/>
  </r>
  <r>
    <s v="Saga de Njall"/>
    <x v="9"/>
    <x v="0"/>
    <m/>
    <x v="0"/>
    <s v="Não"/>
  </r>
  <r>
    <s v="Um Diário do Ano da Peste"/>
    <x v="10"/>
    <x v="0"/>
    <m/>
    <x v="0"/>
    <s v="Não"/>
  </r>
  <r>
    <s v="Madame Bovary"/>
    <x v="11"/>
    <x v="0"/>
    <s v="978-65-87036-71-7"/>
    <x v="0"/>
    <s v="Não"/>
  </r>
  <r>
    <s v="Os Trabalhadores do Mar"/>
    <x v="12"/>
    <x v="0"/>
    <s v="978-65-87036-38-0"/>
    <x v="0"/>
    <s v="Não"/>
  </r>
  <r>
    <s v="Crime e Castigo"/>
    <x v="13"/>
    <x v="0"/>
    <s v="978-65-87036-14-4"/>
    <x v="0"/>
    <s v="Não"/>
  </r>
  <r>
    <s v="Irmãos Karamazov"/>
    <x v="13"/>
    <x v="0"/>
    <m/>
    <x v="0"/>
    <s v="Não"/>
  </r>
  <r>
    <s v="Pais e Filhos"/>
    <x v="14"/>
    <x v="0"/>
    <s v="978-65-87036-82-3"/>
    <x v="0"/>
    <s v="Não"/>
  </r>
  <r>
    <s v="Memorias Póstumas de Brás Cubas"/>
    <x v="15"/>
    <x v="0"/>
    <s v="978-65-87036-64-9"/>
    <x v="0"/>
    <s v="Não"/>
  </r>
  <r>
    <s v="Dom Casmurro"/>
    <x v="15"/>
    <x v="0"/>
    <s v="978-65-87036-03-8"/>
    <x v="0"/>
    <s v="Sim"/>
  </r>
  <r>
    <s v="Caetés"/>
    <x v="16"/>
    <x v="0"/>
    <m/>
    <x v="0"/>
    <s v="Não"/>
  </r>
  <r>
    <s v="São Bernardo"/>
    <x v="16"/>
    <x v="0"/>
    <m/>
    <x v="0"/>
    <s v="Não"/>
  </r>
  <r>
    <s v="Angústia*"/>
    <x v="16"/>
    <x v="0"/>
    <m/>
    <x v="0"/>
    <s v="Não"/>
  </r>
  <r>
    <s v="Vidas Secas"/>
    <x v="16"/>
    <x v="0"/>
    <m/>
    <x v="0"/>
    <s v="Sim"/>
  </r>
  <r>
    <s v="Viagem ao Redor do meu Quarto"/>
    <x v="17"/>
    <x v="0"/>
    <m/>
    <x v="0"/>
    <s v="Não"/>
  </r>
  <r>
    <s v="Contos do Casmurro"/>
    <x v="15"/>
    <x v="0"/>
    <m/>
    <x v="0"/>
    <s v="Não"/>
  </r>
  <r>
    <s v="Saga de Gunnlaugr Lingua-de-Serpente"/>
    <x v="9"/>
    <x v="0"/>
    <m/>
    <x v="0"/>
    <s v="Não"/>
  </r>
  <r>
    <s v="Vida de Esopo"/>
    <x v="9"/>
    <x v="0"/>
    <m/>
    <x v="0"/>
    <s v="Não"/>
  </r>
  <r>
    <s v="A Conciência de Svevo"/>
    <x v="5"/>
    <x v="0"/>
    <m/>
    <x v="0"/>
    <s v="Não"/>
  </r>
  <r>
    <s v="Diário de um Homem Superfluo"/>
    <x v="14"/>
    <x v="0"/>
    <m/>
    <x v="0"/>
    <s v="Não"/>
  </r>
  <r>
    <s v="A fazenda dos Animais"/>
    <x v="0"/>
    <x v="0"/>
    <m/>
    <x v="0"/>
    <s v="Sim"/>
  </r>
  <r>
    <s v="Torquato Tasso"/>
    <x v="18"/>
    <x v="0"/>
    <s v="978-65-87036-34-2"/>
    <x v="0"/>
    <s v="Não"/>
  </r>
  <r>
    <s v="Três contos"/>
    <x v="11"/>
    <x v="0"/>
    <s v="978-65-87036-72-4"/>
    <x v="0"/>
    <s v="Não"/>
  </r>
  <r>
    <s v="Eureka"/>
    <x v="2"/>
    <x v="0"/>
    <m/>
    <x v="0"/>
    <s v="Não"/>
  </r>
  <r>
    <s v="O Último Dia de um Condenado"/>
    <x v="12"/>
    <x v="0"/>
    <m/>
    <x v="0"/>
    <s v="Não"/>
  </r>
  <r>
    <s v="A Peste Escarlate"/>
    <x v="19"/>
    <x v="0"/>
    <s v="978-65-87036-26-7"/>
    <x v="0"/>
    <s v="Não"/>
  </r>
  <r>
    <s v="Seis Personagens em Busca de um Autor"/>
    <x v="4"/>
    <x v="0"/>
    <m/>
    <x v="0"/>
    <s v="Não"/>
  </r>
  <r>
    <s v="Cadernos do Subterraneo"/>
    <x v="13"/>
    <x v="0"/>
    <m/>
    <x v="0"/>
    <s v="Não"/>
  </r>
  <r>
    <s v="Juventude"/>
    <x v="1"/>
    <x v="0"/>
    <m/>
    <x v="0"/>
    <s v="Não"/>
  </r>
  <r>
    <s v="Auto da Barca do Inferno"/>
    <x v="20"/>
    <x v="1"/>
    <m/>
    <x v="1"/>
    <s v="Sim"/>
  </r>
  <r>
    <s v="O Caçador de Pipas"/>
    <x v="21"/>
    <x v="2"/>
    <m/>
    <x v="1"/>
    <s v="Não"/>
  </r>
  <r>
    <s v="O Livro dos Cinco Aneis"/>
    <x v="22"/>
    <x v="3"/>
    <m/>
    <x v="1"/>
    <s v="Não"/>
  </r>
  <r>
    <s v="A Biblioteca da Meia Noite"/>
    <x v="23"/>
    <x v="4"/>
    <m/>
    <x v="1"/>
    <s v="Sim"/>
  </r>
  <r>
    <s v="Os três Maridos de Evelyn Hugo"/>
    <x v="24"/>
    <x v="5"/>
    <m/>
    <x v="1"/>
    <s v="Não"/>
  </r>
  <r>
    <s v="Dasy Jones and The Six"/>
    <x v="24"/>
    <x v="5"/>
    <m/>
    <x v="1"/>
    <s v="Não"/>
  </r>
  <r>
    <s v="O Deus e o Imperador"/>
    <x v="25"/>
    <x v="6"/>
    <m/>
    <x v="1"/>
    <s v="Sim"/>
  </r>
  <r>
    <s v="Verity"/>
    <x v="26"/>
    <x v="7"/>
    <m/>
    <x v="1"/>
    <s v="Não"/>
  </r>
  <r>
    <s v="Os Dois Morrem no Final"/>
    <x v="27"/>
    <x v="8"/>
    <m/>
    <x v="1"/>
    <s v="Não"/>
  </r>
  <r>
    <s v="Marley e Eu"/>
    <x v="28"/>
    <x v="9"/>
    <m/>
    <x v="1"/>
    <s v="Sim"/>
  </r>
  <r>
    <s v="Grande Sertão: Veredas"/>
    <x v="29"/>
    <x v="10"/>
    <m/>
    <x v="1"/>
    <s v="Não"/>
  </r>
  <r>
    <s v="Os Sertões"/>
    <x v="30"/>
    <x v="11"/>
    <m/>
    <x v="1"/>
    <s v="Não"/>
  </r>
  <r>
    <s v="Angustia*"/>
    <x v="16"/>
    <x v="12"/>
    <m/>
    <x v="1"/>
    <s v="Abandonado"/>
  </r>
  <r>
    <s v="A Hora da Estrela"/>
    <x v="31"/>
    <x v="13"/>
    <m/>
    <x v="1"/>
    <s v="Não"/>
  </r>
  <r>
    <s v="O Meu Pé de Laranja Lima"/>
    <x v="32"/>
    <x v="14"/>
    <m/>
    <x v="1"/>
    <s v="Sim"/>
  </r>
  <r>
    <s v="Tudo é Rio"/>
    <x v="33"/>
    <x v="12"/>
    <m/>
    <x v="1"/>
    <s v="Não"/>
  </r>
  <r>
    <s v="Eu Receberia as Piores Notícias dos Seus Lindos Lábios"/>
    <x v="34"/>
    <x v="15"/>
    <m/>
    <x v="1"/>
    <s v="Não"/>
  </r>
  <r>
    <s v="Onze Minutos"/>
    <x v="35"/>
    <x v="5"/>
    <m/>
    <x v="1"/>
    <s v="Sim"/>
  </r>
  <r>
    <s v="O Alquimista"/>
    <x v="35"/>
    <x v="16"/>
    <m/>
    <x v="1"/>
    <s v="Sim"/>
  </r>
  <r>
    <s v="Batalhas de Um Pracinha "/>
    <x v="36"/>
    <x v="17"/>
    <m/>
    <x v="1"/>
    <s v="Não"/>
  </r>
  <r>
    <s v="Projeto Nacional: O Dever da Esperança"/>
    <x v="37"/>
    <x v="18"/>
    <m/>
    <x v="2"/>
    <s v="Não"/>
  </r>
  <r>
    <s v="Livro do Desassossego"/>
    <x v="38"/>
    <x v="11"/>
    <m/>
    <x v="1"/>
    <s v="Não"/>
  </r>
  <r>
    <s v="O Alienista"/>
    <x v="15"/>
    <x v="11"/>
    <m/>
    <x v="1"/>
    <s v="Não"/>
  </r>
  <r>
    <s v="Memorias de uma costureira"/>
    <x v="39"/>
    <x v="17"/>
    <s v="sem registro"/>
    <x v="1"/>
    <s v="Sim"/>
  </r>
  <r>
    <s v="Trilogia dos Espinhos - Prince of Thorns**"/>
    <x v="40"/>
    <x v="19"/>
    <m/>
    <x v="1"/>
    <s v="Sim"/>
  </r>
  <r>
    <s v="Trilogia dos Espinhos - King of Thorns"/>
    <x v="40"/>
    <x v="19"/>
    <m/>
    <x v="1"/>
    <s v="Não"/>
  </r>
  <r>
    <s v="Trilogia dos Espinhos - Emperor of Thorns"/>
    <x v="40"/>
    <x v="19"/>
    <m/>
    <x v="1"/>
    <s v="Não"/>
  </r>
  <r>
    <s v="O Médico e o Monstro e Outros Experimentos*"/>
    <x v="41"/>
    <x v="19"/>
    <m/>
    <x v="1"/>
    <s v="Não"/>
  </r>
  <r>
    <s v="Frankenstein"/>
    <x v="42"/>
    <x v="19"/>
    <m/>
    <x v="1"/>
    <s v="Sim"/>
  </r>
  <r>
    <s v="Morro dos Ventos Uivantes"/>
    <x v="43"/>
    <x v="19"/>
    <m/>
    <x v="1"/>
    <s v="Sim"/>
  </r>
  <r>
    <s v="Drácula"/>
    <x v="44"/>
    <x v="19"/>
    <m/>
    <x v="1"/>
    <s v="Sim"/>
  </r>
  <r>
    <s v="Carmilla"/>
    <x v="45"/>
    <x v="20"/>
    <m/>
    <x v="1"/>
    <s v="Não"/>
  </r>
  <r>
    <s v="Nobreza de Sangue"/>
    <x v="46"/>
    <x v="20"/>
    <m/>
    <x v="1"/>
    <s v="Não"/>
  </r>
  <r>
    <s v="O Labirinto do Fauno"/>
    <x v="47"/>
    <x v="8"/>
    <m/>
    <x v="1"/>
    <s v="Sim"/>
  </r>
  <r>
    <s v="O Casal que Mora ao Lado "/>
    <x v="48"/>
    <x v="12"/>
    <m/>
    <x v="1"/>
    <s v="Não"/>
  </r>
  <r>
    <s v="A Paciente Silenciosa"/>
    <x v="49"/>
    <x v="12"/>
    <m/>
    <x v="1"/>
    <s v="Não"/>
  </r>
  <r>
    <s v="Morte Súbita"/>
    <x v="50"/>
    <x v="21"/>
    <m/>
    <x v="1"/>
    <s v="Abandonado"/>
  </r>
  <r>
    <s v="O Cão dos Barkerville"/>
    <x v="51"/>
    <x v="12"/>
    <m/>
    <x v="1"/>
    <s v="Sim"/>
  </r>
  <r>
    <s v="Vampiratas - Demonios do Oceano**"/>
    <x v="52"/>
    <x v="22"/>
    <m/>
    <x v="1"/>
    <s v="Sim"/>
  </r>
  <r>
    <s v="Vampiratas - Mar de Terror"/>
    <x v="52"/>
    <x v="22"/>
    <m/>
    <x v="1"/>
    <s v="Abandonado"/>
  </r>
  <r>
    <s v="Vampiratas - Coração Negro"/>
    <x v="52"/>
    <x v="22"/>
    <m/>
    <x v="1"/>
    <s v="Não"/>
  </r>
  <r>
    <s v="Vampiratas - Capitão de Sangue"/>
    <x v="52"/>
    <x v="22"/>
    <m/>
    <x v="1"/>
    <s v="Não"/>
  </r>
  <r>
    <s v="Vampiratas - Demonios del Oceano"/>
    <x v="52"/>
    <x v="23"/>
    <m/>
    <x v="3"/>
    <s v="Sim"/>
  </r>
  <r>
    <s v="Vampiratas - Una Ola de Terror"/>
    <x v="52"/>
    <x v="23"/>
    <m/>
    <x v="3"/>
    <s v="Não"/>
  </r>
  <r>
    <s v="O Médico e o Monstro ** *"/>
    <x v="41"/>
    <x v="11"/>
    <m/>
    <x v="1"/>
    <s v="Sim"/>
  </r>
  <r>
    <s v="Lendas Japonesas "/>
    <x v="53"/>
    <x v="19"/>
    <m/>
    <x v="1"/>
    <s v="Sim"/>
  </r>
  <r>
    <s v="Jane Eyre"/>
    <x v="54"/>
    <x v="24"/>
    <m/>
    <x v="4"/>
    <s v="Sim"/>
  </r>
  <r>
    <s v="Moby Dick"/>
    <x v="55"/>
    <x v="24"/>
    <m/>
    <x v="5"/>
    <s v="Não"/>
  </r>
  <r>
    <s v="Persuasão"/>
    <x v="56"/>
    <x v="24"/>
    <m/>
    <x v="1"/>
    <s v="Não"/>
  </r>
  <r>
    <s v="O Corcunda de Notre Dame"/>
    <x v="12"/>
    <x v="24"/>
    <m/>
    <x v="1"/>
    <s v="Não"/>
  </r>
  <r>
    <s v="Shirley"/>
    <x v="54"/>
    <x v="25"/>
    <m/>
    <x v="5"/>
    <s v="Não"/>
  </r>
  <r>
    <s v="Emma"/>
    <x v="56"/>
    <x v="25"/>
    <m/>
    <x v="5"/>
    <s v="Não"/>
  </r>
  <r>
    <s v="Os Miseráveis"/>
    <x v="12"/>
    <x v="25"/>
    <m/>
    <x v="5"/>
    <s v="Não"/>
  </r>
  <r>
    <s v="O Conde de Monte Cristo"/>
    <x v="57"/>
    <x v="25"/>
    <m/>
    <x v="5"/>
    <s v="Não"/>
  </r>
  <r>
    <s v="Hamlet"/>
    <x v="58"/>
    <x v="25"/>
    <m/>
    <x v="5"/>
    <s v="Sim"/>
  </r>
  <r>
    <s v="A letra Escarlate"/>
    <x v="59"/>
    <x v="25"/>
    <m/>
    <x v="5"/>
    <s v="Não"/>
  </r>
  <r>
    <s v="O Homem que Calculava"/>
    <x v="60"/>
    <x v="12"/>
    <m/>
    <x v="5"/>
    <s v="Não"/>
  </r>
  <r>
    <s v="Os sofrimentos do Jovem Werther"/>
    <x v="18"/>
    <x v="26"/>
    <m/>
    <x v="6"/>
    <s v="Não"/>
  </r>
  <r>
    <s v="A mulher de trinta anos"/>
    <x v="7"/>
    <x v="26"/>
    <m/>
    <x v="6"/>
    <s v="Sim"/>
  </r>
  <r>
    <s v="Dom Quixote - Tomo 1"/>
    <x v="61"/>
    <x v="26"/>
    <m/>
    <x v="5"/>
    <s v="Não"/>
  </r>
  <r>
    <s v="Dom Quixote - Tomo 2"/>
    <x v="61"/>
    <x v="26"/>
    <m/>
    <x v="5"/>
    <s v="Não"/>
  </r>
  <r>
    <s v="Macbeth"/>
    <x v="58"/>
    <x v="3"/>
    <m/>
    <x v="1"/>
    <s v="Não"/>
  </r>
  <r>
    <s v="Caninos Brancos  "/>
    <x v="19"/>
    <x v="3"/>
    <m/>
    <x v="1"/>
    <s v="Sim"/>
  </r>
  <r>
    <s v="A Metamorfose"/>
    <x v="62"/>
    <x v="11"/>
    <m/>
    <x v="0"/>
    <s v="Não"/>
  </r>
  <r>
    <s v="O Processo"/>
    <x v="62"/>
    <x v="11"/>
    <m/>
    <x v="0"/>
    <s v="Não"/>
  </r>
  <r>
    <s v="O Castelo"/>
    <x v="62"/>
    <x v="11"/>
    <m/>
    <x v="0"/>
    <s v="Não"/>
  </r>
  <r>
    <s v="Assim Falou Zaratrusta"/>
    <x v="63"/>
    <x v="15"/>
    <m/>
    <x v="1"/>
    <s v="Não"/>
  </r>
  <r>
    <s v="Senhor das Moscas"/>
    <x v="64"/>
    <x v="27"/>
    <m/>
    <x v="1"/>
    <s v="Não"/>
  </r>
  <r>
    <s v="O Velho e o Mar "/>
    <x v="65"/>
    <x v="4"/>
    <m/>
    <x v="6"/>
    <s v="Sim"/>
  </r>
  <r>
    <s v="O Sol é para Todos"/>
    <x v="66"/>
    <x v="28"/>
    <m/>
    <x v="1"/>
    <s v="Sim"/>
  </r>
  <r>
    <s v="Mrs Dalloway"/>
    <x v="67"/>
    <x v="29"/>
    <m/>
    <x v="0"/>
    <s v="Não"/>
  </r>
  <r>
    <s v="O menino do Pijama Lsitrado"/>
    <x v="68"/>
    <x v="30"/>
    <m/>
    <x v="1"/>
    <s v="Não"/>
  </r>
  <r>
    <s v="Percy Jackson e os Olimpianos - O Ladrão de Raios**"/>
    <x v="69"/>
    <x v="8"/>
    <m/>
    <x v="7"/>
    <s v="Sim"/>
  </r>
  <r>
    <s v="Percy Jackson e os Olimpianos - Mar de Monstros**"/>
    <x v="69"/>
    <x v="8"/>
    <m/>
    <x v="7"/>
    <s v="Sim"/>
  </r>
  <r>
    <s v="Percy Jackson e os Olimpianos - A Maldição do Titã**"/>
    <x v="69"/>
    <x v="8"/>
    <m/>
    <x v="7"/>
    <s v="Sim"/>
  </r>
  <r>
    <s v="Percy Jackson e os Olimpianos - A Batalha no Labirinto**"/>
    <x v="69"/>
    <x v="8"/>
    <m/>
    <x v="7"/>
    <s v="Sim"/>
  </r>
  <r>
    <s v="Percy Jackson e os Olimpianos - O Último Olimpiano"/>
    <x v="69"/>
    <x v="8"/>
    <m/>
    <x v="7"/>
    <s v="Sim"/>
  </r>
  <r>
    <s v="Os Heróis do Olimpo - O Herói Perdido"/>
    <x v="69"/>
    <x v="8"/>
    <m/>
    <x v="7"/>
    <s v="Sim"/>
  </r>
  <r>
    <s v="Os Heróis do Olimpo - O Filho de Netuno"/>
    <x v="69"/>
    <x v="8"/>
    <m/>
    <x v="7"/>
    <s v="Sim"/>
  </r>
  <r>
    <s v="Os Heróis do Olimpo - O Sangue do Olimpo "/>
    <x v="69"/>
    <x v="8"/>
    <m/>
    <x v="7"/>
    <s v="Sim"/>
  </r>
  <r>
    <s v="Os Heróis do Olimpo - A Marca de Atena "/>
    <x v="69"/>
    <x v="8"/>
    <m/>
    <x v="7"/>
    <s v="Sim"/>
  </r>
  <r>
    <s v="Os Heróis do Olimpo - A Casa de Hades - sumiu"/>
    <x v="69"/>
    <x v="8"/>
    <m/>
    <x v="7"/>
    <s v="Sim"/>
  </r>
  <r>
    <s v="Fronteiras do Universo - A Faca Sutil"/>
    <x v="70"/>
    <x v="31"/>
    <m/>
    <x v="2"/>
    <s v="Sim"/>
  </r>
  <r>
    <s v="Fronteiras do Universo - A Luneta Ambar"/>
    <x v="70"/>
    <x v="31"/>
    <m/>
    <x v="2"/>
    <s v="Sim"/>
  </r>
  <r>
    <s v="A Crônica do Matador de Rei -  O Nome do Vento"/>
    <x v="71"/>
    <x v="32"/>
    <m/>
    <x v="0"/>
    <s v="Relendo"/>
  </r>
  <r>
    <s v="A Crônica do Matador de Rei - O Temor do Sábio"/>
    <x v="71"/>
    <x v="32"/>
    <m/>
    <x v="0"/>
    <s v="Não"/>
  </r>
  <r>
    <s v="A Crônica do Matador de Rei - A Música do Silêncio"/>
    <x v="71"/>
    <x v="32"/>
    <m/>
    <x v="0"/>
    <s v="Não"/>
  </r>
  <r>
    <s v="A Crônica do Matador de Rei - O Estreito Caminho entre Desejos"/>
    <x v="71"/>
    <x v="32"/>
    <m/>
    <x v="8"/>
    <s v="Não"/>
  </r>
  <r>
    <s v="Rainha do Crime - O Mistério dos Sete Relógios"/>
    <x v="72"/>
    <x v="33"/>
    <m/>
    <x v="9"/>
    <s v="Sim"/>
  </r>
  <r>
    <s v="Rainha do Crime - Crimes ABC"/>
    <x v="72"/>
    <x v="33"/>
    <m/>
    <x v="9"/>
    <s v="Não"/>
  </r>
  <r>
    <s v="Rainha do Crime - Os Trabalhos de Hércules"/>
    <x v="72"/>
    <x v="33"/>
    <m/>
    <x v="9"/>
    <s v="Não"/>
  </r>
  <r>
    <s v="Rainha do Crime - A Maldicão do Espelho"/>
    <x v="72"/>
    <x v="33"/>
    <m/>
    <x v="9"/>
    <s v="Não"/>
  </r>
  <r>
    <s v="Rainha do Crime - Cem Gramas de Centeio "/>
    <x v="72"/>
    <x v="33"/>
    <m/>
    <x v="9"/>
    <s v="Sim"/>
  </r>
  <r>
    <s v="Rainha do Crime - Nêmesis"/>
    <x v="72"/>
    <x v="33"/>
    <m/>
    <x v="9"/>
    <s v="Não"/>
  </r>
  <r>
    <s v="Rainha do Crime - E Não Sobrou Nenhum"/>
    <x v="72"/>
    <x v="34"/>
    <m/>
    <x v="9"/>
    <s v="Sim"/>
  </r>
  <r>
    <s v="A Guerra da Papoula 1"/>
    <x v="73"/>
    <x v="8"/>
    <m/>
    <x v="8"/>
    <s v="Não"/>
  </r>
  <r>
    <s v="A Guerra da Papoula 2 -  A republica do Dragão"/>
    <x v="73"/>
    <x v="8"/>
    <m/>
    <x v="8"/>
    <s v="Não"/>
  </r>
  <r>
    <s v="A Guerra da Papoula 3 - A Deusa em Chamas"/>
    <x v="73"/>
    <x v="8"/>
    <m/>
    <x v="8"/>
    <s v="Não"/>
  </r>
  <r>
    <s v="Millenium - Os Homens que não Amavam as Mulheres **"/>
    <x v="74"/>
    <x v="10"/>
    <m/>
    <x v="9"/>
    <s v="Não"/>
  </r>
  <r>
    <s v="Millenium - A Menina que Brincava com Fogo **"/>
    <x v="74"/>
    <x v="10"/>
    <m/>
    <x v="9"/>
    <s v="Não"/>
  </r>
  <r>
    <s v="O Cemitério dos Livros Esquecidos - A Sombra do Vento "/>
    <x v="75"/>
    <x v="31"/>
    <m/>
    <x v="8"/>
    <s v="Sim"/>
  </r>
  <r>
    <s v="Ciclo de Avalon - Ancestrais de Avalon"/>
    <x v="76"/>
    <x v="35"/>
    <m/>
    <x v="6"/>
    <s v="Sim"/>
  </r>
  <r>
    <s v="Ciclo de Avalon - Os Corvos de Avalon"/>
    <x v="76"/>
    <x v="35"/>
    <m/>
    <x v="5"/>
    <s v="Não"/>
  </r>
  <r>
    <s v="Ciclo de Avalon - A casa da Floresta"/>
    <x v="77"/>
    <x v="35"/>
    <m/>
    <x v="5"/>
    <s v="Não"/>
  </r>
  <r>
    <s v="Ciclo de Avalon - A espada de Avalon"/>
    <x v="76"/>
    <x v="35"/>
    <m/>
    <x v="5"/>
    <s v="Não"/>
  </r>
  <r>
    <s v="Ciclo de Avalon - A Senhora de Avalon"/>
    <x v="76"/>
    <x v="13"/>
    <m/>
    <x v="8"/>
    <s v="Não"/>
  </r>
  <r>
    <s v="Anne de GreenGables"/>
    <x v="78"/>
    <x v="11"/>
    <m/>
    <x v="0"/>
    <s v="Não"/>
  </r>
  <r>
    <s v="Rangers Ordem dos Arqueiros - Livro 6 **"/>
    <x v="79"/>
    <x v="36"/>
    <m/>
    <x v="9"/>
    <s v="Não"/>
  </r>
  <r>
    <s v="Ps Eu te Amo"/>
    <x v="80"/>
    <x v="33"/>
    <m/>
    <x v="5"/>
    <s v="Não"/>
  </r>
  <r>
    <s v="O Menino que Descobriu o Vento"/>
    <x v="81"/>
    <x v="11"/>
    <m/>
    <x v="5"/>
    <s v="Não"/>
  </r>
  <r>
    <s v="O Guia do Mochileiro das Galáxias"/>
    <x v="82"/>
    <x v="37"/>
    <m/>
    <x v="2"/>
    <s v="Sim"/>
  </r>
  <r>
    <s v="O Restaurante no Fim do Mundo"/>
    <x v="82"/>
    <x v="37"/>
    <m/>
    <x v="2"/>
    <s v="Não"/>
  </r>
  <r>
    <s v="A Vida, o Universo e Tudo Mais "/>
    <x v="82"/>
    <x v="37"/>
    <m/>
    <x v="2"/>
    <s v="Não"/>
  </r>
  <r>
    <s v="Até Mais, e Obrigada Pelos Peixes"/>
    <x v="82"/>
    <x v="37"/>
    <m/>
    <x v="2"/>
    <s v="Não"/>
  </r>
  <r>
    <s v="Praticamente Inofensiva"/>
    <x v="82"/>
    <x v="37"/>
    <m/>
    <x v="2"/>
    <s v="Não"/>
  </r>
  <r>
    <s v="Hainish Cycle - A Mão Esquerda da Escuridão"/>
    <x v="83"/>
    <x v="37"/>
    <m/>
    <x v="1"/>
    <s v="Não"/>
  </r>
  <r>
    <s v="Hainish Cycle - Os Despossuídos"/>
    <x v="83"/>
    <x v="37"/>
    <m/>
    <x v="1"/>
    <s v="Não"/>
  </r>
  <r>
    <s v="O Conto da Aia"/>
    <x v="84"/>
    <x v="37"/>
    <m/>
    <x v="4"/>
    <s v="Sim"/>
  </r>
  <r>
    <s v="O Conto da Aia - Os Testamentos"/>
    <x v="84"/>
    <x v="37"/>
    <m/>
    <x v="1"/>
    <s v="Sim"/>
  </r>
  <r>
    <s v="Jogos Vorazes - A Cantiga dos Pássaros e das Serpentes"/>
    <x v="85"/>
    <x v="37"/>
    <m/>
    <x v="8"/>
    <s v="Sim"/>
  </r>
  <r>
    <s v="Jogos Vorazes - Amanhecer na Colheita"/>
    <x v="85"/>
    <x v="37"/>
    <m/>
    <x v="6"/>
    <s v="Sim"/>
  </r>
  <r>
    <s v="Jogos Vorazes - Juegos del Hambre"/>
    <x v="85"/>
    <x v="37"/>
    <m/>
    <x v="3"/>
    <s v="Não"/>
  </r>
  <r>
    <s v="Battle Royale"/>
    <x v="86"/>
    <x v="37"/>
    <m/>
    <x v="1"/>
    <s v="Sim"/>
  </r>
  <r>
    <s v="Admirável Mundo Novo"/>
    <x v="87"/>
    <x v="37"/>
    <m/>
    <x v="1"/>
    <s v="Sim"/>
  </r>
  <r>
    <s v="Fahrenheit 451"/>
    <x v="88"/>
    <x v="37"/>
    <m/>
    <x v="1"/>
    <s v="Não"/>
  </r>
  <r>
    <s v="Maus"/>
    <x v="89"/>
    <x v="37"/>
    <m/>
    <x v="1"/>
    <s v="Sim"/>
  </r>
  <r>
    <s v="Cobra Kai : A Saga Karatê Kid Continua: A História de Johnny"/>
    <x v="90"/>
    <x v="37"/>
    <m/>
    <x v="1"/>
    <s v="Não"/>
  </r>
  <r>
    <s v="Terra-média - O Hobbit - Em quadrinhos"/>
    <x v="91"/>
    <x v="37"/>
    <m/>
    <x v="5"/>
    <s v="Não"/>
  </r>
  <r>
    <s v="Sapiens - O Nascimento da Humanidade"/>
    <x v="92"/>
    <x v="37"/>
    <m/>
    <x v="1"/>
    <s v="Não"/>
  </r>
  <r>
    <s v="Sapiens - Os Pilares da Civilização"/>
    <x v="92"/>
    <x v="37"/>
    <m/>
    <x v="1"/>
    <s v="Não"/>
  </r>
  <r>
    <s v="Nana 1"/>
    <x v="93"/>
    <x v="37"/>
    <m/>
    <x v="6"/>
    <s v="Não"/>
  </r>
  <r>
    <s v="Nana 2 "/>
    <x v="93"/>
    <x v="37"/>
    <m/>
    <x v="6"/>
    <s v="Não"/>
  </r>
  <r>
    <s v="Nana 3"/>
    <x v="93"/>
    <x v="37"/>
    <m/>
    <x v="6"/>
    <s v="Não"/>
  </r>
  <r>
    <s v="Nana 4 "/>
    <x v="93"/>
    <x v="37"/>
    <m/>
    <x v="6"/>
    <s v="Não"/>
  </r>
  <r>
    <s v="Nana 5"/>
    <x v="93"/>
    <x v="37"/>
    <m/>
    <x v="6"/>
    <s v="Não"/>
  </r>
  <r>
    <s v="Livro das Mil e Uma Noites - Ramo Sírio - 1"/>
    <x v="94"/>
    <x v="38"/>
    <m/>
    <x v="6"/>
    <s v="Lendo"/>
  </r>
  <r>
    <s v="Livro das Mil e Uma Noites - Ramo Sírio - 2"/>
    <x v="94"/>
    <x v="38"/>
    <m/>
    <x v="6"/>
    <s v="Não"/>
  </r>
  <r>
    <s v="Livro das Mil e Uma Noites - Ramo Egípcio - 3"/>
    <x v="94"/>
    <x v="38"/>
    <m/>
    <x v="6"/>
    <s v="Não"/>
  </r>
  <r>
    <s v="Livro das Mil e Uma Noites - Ramo Egípcio - 4"/>
    <x v="94"/>
    <x v="38"/>
    <m/>
    <x v="6"/>
    <s v="Não"/>
  </r>
  <r>
    <s v="Livro das Mil e Uma Noites - Ramo Egípcio - 5"/>
    <x v="94"/>
    <x v="38"/>
    <m/>
    <x v="6"/>
    <s v="Não"/>
  </r>
  <r>
    <s v="Arvore e Folha"/>
    <x v="91"/>
    <x v="33"/>
    <m/>
    <x v="1"/>
    <s v="Sim"/>
  </r>
  <r>
    <s v="A Batalha de Maldom "/>
    <x v="91"/>
    <x v="33"/>
    <m/>
    <x v="1"/>
    <s v="Não"/>
  </r>
  <r>
    <s v="Terra-média - O Silmarillion"/>
    <x v="91"/>
    <x v="33"/>
    <m/>
    <x v="1"/>
    <s v="Sim"/>
  </r>
  <r>
    <s v="Terra-média -  Beren e Luthien"/>
    <x v="91"/>
    <x v="33"/>
    <m/>
    <x v="1"/>
    <s v="Sim"/>
  </r>
  <r>
    <s v="Terra-média -  Os Filhos de Hurin"/>
    <x v="91"/>
    <x v="33"/>
    <m/>
    <x v="1"/>
    <s v="Sim"/>
  </r>
  <r>
    <s v="Terra-média - A Queda de Gondolim"/>
    <x v="91"/>
    <x v="33"/>
    <m/>
    <x v="1"/>
    <s v="Não"/>
  </r>
  <r>
    <s v="Terra-média - A Queda de Numenor"/>
    <x v="91"/>
    <x v="33"/>
    <m/>
    <x v="5"/>
    <s v="Não"/>
  </r>
  <r>
    <s v="Terra-média - O Hobbit **"/>
    <x v="91"/>
    <x v="37"/>
    <m/>
    <x v="1"/>
    <s v="Sim"/>
  </r>
  <r>
    <s v="Terra-média - Senhor dos Anéis - A Sociedade do Anel **"/>
    <x v="91"/>
    <x v="37"/>
    <m/>
    <x v="1"/>
    <s v="Não"/>
  </r>
  <r>
    <s v="Terra-média - Senhor dos Anéis - As Duas Torres **"/>
    <x v="91"/>
    <x v="37"/>
    <m/>
    <x v="1"/>
    <s v="Não"/>
  </r>
  <r>
    <s v="Terra-média - Senhor dos Anéis - O Retorn do Rei **"/>
    <x v="91"/>
    <x v="37"/>
    <m/>
    <x v="1"/>
    <s v="Não"/>
  </r>
  <r>
    <s v="Harry Potter 1 - e a Pedra Filosofal - dobradura"/>
    <x v="50"/>
    <x v="39"/>
    <m/>
    <x v="1"/>
    <s v="Não"/>
  </r>
  <r>
    <s v="Harry Potter 2 - e a Camara Secreta - dobradura"/>
    <x v="50"/>
    <x v="39"/>
    <m/>
    <x v="1"/>
    <s v="Sim"/>
  </r>
  <r>
    <s v="Harry Potter 3 - e o Prisioneiro de Askaban - dobradura"/>
    <x v="50"/>
    <x v="39"/>
    <m/>
    <x v="1"/>
    <s v="Sim"/>
  </r>
  <r>
    <s v="Harry Potter - Os Contos de Beedle o Bardo - ilustrado"/>
    <x v="50"/>
    <x v="13"/>
    <m/>
    <x v="1"/>
    <s v="Sim"/>
  </r>
  <r>
    <s v="Harry Potter -  Animais Fantásticos e Onde Habitam - ilustrado"/>
    <x v="50"/>
    <x v="13"/>
    <m/>
    <x v="5"/>
    <s v="Sim"/>
  </r>
  <r>
    <s v="Harry Potter - Natal em Hogwarts - ilustrado"/>
    <x v="50"/>
    <x v="13"/>
    <m/>
    <x v="1"/>
    <s v="Sim"/>
  </r>
  <r>
    <s v="Harry Potter 1 - e a Pedra Filosofal - ilustrado"/>
    <x v="50"/>
    <x v="40"/>
    <m/>
    <x v="5"/>
    <s v="Não"/>
  </r>
  <r>
    <s v="Harry Potter 2 - e a Camara Secreta - ilustrado"/>
    <x v="50"/>
    <x v="40"/>
    <m/>
    <x v="5"/>
    <s v="Não"/>
  </r>
  <r>
    <s v="Harry Potter 3 - e o Prisioneiro de Askaban - ilustrado"/>
    <x v="50"/>
    <x v="40"/>
    <m/>
    <x v="5"/>
    <s v="Não"/>
  </r>
  <r>
    <s v="Harry Potter 1 - e a Pedra Filosofal "/>
    <x v="50"/>
    <x v="13"/>
    <m/>
    <x v="5"/>
    <s v="Sim"/>
  </r>
  <r>
    <s v="Harry Potter 2 - e a Câmara Secreta"/>
    <x v="50"/>
    <x v="13"/>
    <m/>
    <x v="5"/>
    <s v="Sim"/>
  </r>
  <r>
    <s v="Harry Potter 3 - e o Prisioneiro de Askaban"/>
    <x v="50"/>
    <x v="13"/>
    <m/>
    <x v="5"/>
    <s v="Sim"/>
  </r>
  <r>
    <s v="Harry Potter 4 - e o Cálice de Fogo"/>
    <x v="50"/>
    <x v="13"/>
    <m/>
    <x v="5"/>
    <s v="Sim"/>
  </r>
  <r>
    <s v="Harry Potter 5 - e a Ordem da Fênix"/>
    <x v="50"/>
    <x v="13"/>
    <m/>
    <x v="5"/>
    <s v="Sim"/>
  </r>
  <r>
    <s v="Harry Potter 6 - e o Principe Mestiço"/>
    <x v="50"/>
    <x v="13"/>
    <m/>
    <x v="5"/>
    <s v="Sim"/>
  </r>
  <r>
    <s v="Harry Potter 7 - e as Relíquias da Morte"/>
    <x v="50"/>
    <x v="13"/>
    <m/>
    <x v="5"/>
    <s v="Sim"/>
  </r>
  <r>
    <s v="Mundo de Tinta 3 - Morte de Tinta"/>
    <x v="95"/>
    <x v="30"/>
    <m/>
    <x v="5"/>
    <s v="Não"/>
  </r>
  <r>
    <s v="Mundo de Tinta 4 - A cor da Vingança"/>
    <x v="95"/>
    <x v="30"/>
    <m/>
    <x v="5"/>
    <s v="Não"/>
  </r>
  <r>
    <s v="A Sétima Ordem"/>
    <x v="96"/>
    <x v="41"/>
    <m/>
    <x v="1"/>
    <s v="Lendo"/>
  </r>
  <r>
    <s v="Ponte Para Terabítia"/>
    <x v="97"/>
    <x v="37"/>
    <m/>
    <x v="1"/>
    <s v="Sim"/>
  </r>
  <r>
    <s v="O Garoto do Riquixá"/>
    <x v="98"/>
    <x v="37"/>
    <m/>
    <x v="1"/>
    <s v="Sim"/>
  </r>
  <r>
    <s v="Viagem ao Centro da Terra"/>
    <x v="99"/>
    <x v="37"/>
    <m/>
    <x v="1"/>
    <s v="Não"/>
  </r>
  <r>
    <s v="Vinte Mil Léguas Submarinas"/>
    <x v="99"/>
    <x v="37"/>
    <m/>
    <x v="1"/>
    <s v="Não"/>
  </r>
  <r>
    <s v="Oliver Twist"/>
    <x v="100"/>
    <x v="37"/>
    <m/>
    <x v="1"/>
    <s v="Não"/>
  </r>
  <r>
    <s v="Robin Hood"/>
    <x v="101"/>
    <x v="37"/>
    <m/>
    <x v="1"/>
    <s v="Abandonado"/>
  </r>
  <r>
    <s v="Phantastes"/>
    <x v="102"/>
    <x v="37"/>
    <m/>
    <x v="1"/>
    <s v="Não"/>
  </r>
  <r>
    <s v="A Princesa e o Goblin"/>
    <x v="102"/>
    <x v="37"/>
    <m/>
    <x v="1"/>
    <s v="Não"/>
  </r>
  <r>
    <s v="As Lendas do Rei Arthur e seus Cavaleiros"/>
    <x v="103"/>
    <x v="37"/>
    <m/>
    <x v="1"/>
    <s v="Não"/>
  </r>
  <r>
    <s v="Os Três Mosqueteiros"/>
    <x v="57"/>
    <x v="37"/>
    <m/>
    <x v="1"/>
    <s v="Não"/>
  </r>
  <r>
    <s v="O Jardim Secreto"/>
    <x v="104"/>
    <x v="37"/>
    <m/>
    <x v="1"/>
    <s v="Sim"/>
  </r>
  <r>
    <s v="A Princesinha"/>
    <x v="104"/>
    <x v="37"/>
    <m/>
    <x v="1"/>
    <s v="Sim"/>
  </r>
  <r>
    <s v="Pollyanna"/>
    <x v="105"/>
    <x v="37"/>
    <m/>
    <x v="1"/>
    <s v="Sim"/>
  </r>
  <r>
    <s v="Pollyanna moça"/>
    <x v="105"/>
    <x v="37"/>
    <m/>
    <x v="1"/>
    <s v="Abandonado"/>
  </r>
  <r>
    <s v="O Maravilhoso Mágico de Oz"/>
    <x v="106"/>
    <x v="37"/>
    <m/>
    <x v="1"/>
    <s v="Sim"/>
  </r>
  <r>
    <s v="As Aventuras de Pinoquio"/>
    <x v="107"/>
    <x v="37"/>
    <m/>
    <x v="1"/>
    <s v="Sim"/>
  </r>
  <r>
    <s v="O Pequeno Principe"/>
    <x v="108"/>
    <x v="37"/>
    <m/>
    <x v="1"/>
    <s v="Sim"/>
  </r>
  <r>
    <s v="Malala: a Menina que Queria ir para a Escola"/>
    <x v="109"/>
    <x v="37"/>
    <m/>
    <x v="1"/>
    <s v="Sim"/>
  </r>
  <r>
    <s v="O Menino do Dedo Verde"/>
    <x v="110"/>
    <x v="37"/>
    <m/>
    <x v="1"/>
    <s v="Sim"/>
  </r>
  <r>
    <s v="Por Causa de Você, Mãe"/>
    <x v="111"/>
    <x v="37"/>
    <m/>
    <x v="1"/>
    <s v="Sim"/>
  </r>
  <r>
    <s v="O Ickabog"/>
    <x v="50"/>
    <x v="37"/>
    <m/>
    <x v="1"/>
    <s v="Sim"/>
  </r>
  <r>
    <s v="Alice no Páis das Maravilhas "/>
    <x v="112"/>
    <x v="37"/>
    <m/>
    <x v="1"/>
    <s v="Sim"/>
  </r>
  <r>
    <s v="Alice Através do Espelho"/>
    <x v="112"/>
    <x v="37"/>
    <m/>
    <x v="1"/>
    <s v="Sim"/>
  </r>
  <r>
    <s v="Matilda"/>
    <x v="113"/>
    <x v="37"/>
    <m/>
    <x v="1"/>
    <s v="Sim"/>
  </r>
  <r>
    <s v="As Bruxas"/>
    <x v="113"/>
    <x v="37"/>
    <m/>
    <x v="1"/>
    <s v="Não"/>
  </r>
  <r>
    <s v="A Fantástica Fábrica de Chocolate"/>
    <x v="113"/>
    <x v="37"/>
    <m/>
    <x v="1"/>
    <s v="Não"/>
  </r>
  <r>
    <s v="Fantástico Senhor Raposo"/>
    <x v="113"/>
    <x v="37"/>
    <m/>
    <x v="1"/>
    <s v="Sim"/>
  </r>
  <r>
    <s v="O Cisne e o Trompete"/>
    <x v="114"/>
    <x v="37"/>
    <m/>
    <x v="1"/>
    <s v="Não"/>
  </r>
  <r>
    <s v="Stuart Little"/>
    <x v="114"/>
    <x v="37"/>
    <m/>
    <x v="1"/>
    <s v="Sim"/>
  </r>
  <r>
    <s v="A Teia de Charlotte"/>
    <x v="114"/>
    <x v="37"/>
    <m/>
    <x v="1"/>
    <s v="Sim"/>
  </r>
  <r>
    <s v="Ferreiro do Bosque Maior"/>
    <x v="91"/>
    <x v="37"/>
    <m/>
    <x v="1"/>
    <s v="Sim"/>
  </r>
  <r>
    <s v="Mestre Giles d'Aldeia"/>
    <x v="91"/>
    <x v="37"/>
    <m/>
    <x v="1"/>
    <s v="Sim"/>
  </r>
  <r>
    <s v="Roverando"/>
    <x v="91"/>
    <x v="37"/>
    <m/>
    <x v="1"/>
    <s v="Sim"/>
  </r>
  <r>
    <s v="Carta Errante, Avó Atrapalhada, Menina Aniversariante"/>
    <x v="115"/>
    <x v="37"/>
    <m/>
    <x v="1"/>
    <s v="Sim"/>
  </r>
  <r>
    <s v="Amanhã"/>
    <x v="116"/>
    <x v="37"/>
    <m/>
    <x v="1"/>
    <s v="Sim"/>
  </r>
  <r>
    <s v="O Menino Marrom"/>
    <x v="117"/>
    <x v="37"/>
    <m/>
    <x v="1"/>
    <s v="Sim"/>
  </r>
  <r>
    <s v="A Arvore em Mim"/>
    <x v="118"/>
    <x v="37"/>
    <m/>
    <x v="1"/>
    <s v="Sim"/>
  </r>
  <r>
    <s v="Amiga Ursa"/>
    <x v="119"/>
    <x v="37"/>
    <m/>
    <x v="1"/>
    <s v="Sim"/>
  </r>
  <r>
    <s v="Tudo bem Não ser Normal - O menino que se Alimentava de Pesadelos"/>
    <x v="120"/>
    <x v="37"/>
    <m/>
    <x v="1"/>
    <s v="Sim"/>
  </r>
  <r>
    <s v="Tudo bem Não ser Normal - Criança Zumbi"/>
    <x v="120"/>
    <x v="37"/>
    <m/>
    <x v="1"/>
    <s v="Sim"/>
  </r>
  <r>
    <s v="Tudo bem Não ser Normal - A Mão e o Tamboril"/>
    <x v="120"/>
    <x v="37"/>
    <m/>
    <x v="1"/>
    <s v="Sim"/>
  </r>
  <r>
    <s v="Tudo bem Não ser Normal - O Cão Alegre"/>
    <x v="120"/>
    <x v="37"/>
    <m/>
    <x v="1"/>
    <s v="Sim"/>
  </r>
  <r>
    <s v="Tudo bem Não ser Normal - Em Busca da Feição Real"/>
    <x v="120"/>
    <x v="37"/>
    <m/>
    <x v="1"/>
    <s v="Sim"/>
  </r>
  <r>
    <s v="A Montanha do Poder"/>
    <x v="121"/>
    <x v="37"/>
    <m/>
    <x v="1"/>
    <s v="Sim"/>
  </r>
  <r>
    <s v="Pela Porta do Coração"/>
    <x v="122"/>
    <x v="42"/>
    <s v="85-322-2367-2"/>
    <x v="1"/>
    <s v="Sim"/>
  </r>
  <r>
    <s v="Turma da Onça Pintada -  Cadê o Rodolfo?"/>
    <x v="9"/>
    <x v="43"/>
    <s v="978-65-86962-10-9"/>
    <x v="1"/>
    <s v="Sim"/>
  </r>
  <r>
    <s v="Turma da Onça Pintada -  Romeu foi Clonado?"/>
    <x v="9"/>
    <x v="43"/>
    <s v="978-65-86962-09-3"/>
    <x v="1"/>
    <s v="Sim"/>
  </r>
  <r>
    <s v="Turma da Onça Pintada - Uma Nova Amizade"/>
    <x v="9"/>
    <x v="43"/>
    <s v="978-65-86962-09-3"/>
    <x v="1"/>
    <s v="Sim"/>
  </r>
  <r>
    <s v="Turma da Onça Pintada - A grande corrida"/>
    <x v="9"/>
    <x v="43"/>
    <s v="978-65-86962-10-9"/>
    <x v="1"/>
    <s v="Sim"/>
  </r>
  <r>
    <s v="Turma da Onça Pintada - Festa na Floresta"/>
    <x v="9"/>
    <x v="43"/>
    <s v="978-65-86962-10-9"/>
    <x v="1"/>
    <s v="Sim"/>
  </r>
  <r>
    <s v="The Next-Door Dogs"/>
    <x v="123"/>
    <x v="44"/>
    <s v="978-0-374-36410-6"/>
    <x v="1"/>
    <m/>
  </r>
  <r>
    <s v="Moby Dick Adaptado - Bilingue"/>
    <x v="55"/>
    <x v="3"/>
    <m/>
    <x v="1"/>
    <s v="Não"/>
  </r>
  <r>
    <s v="O Poder dos Quietos"/>
    <x v="55"/>
    <x v="37"/>
    <m/>
    <x v="1"/>
    <s v="Abandonado"/>
  </r>
  <r>
    <s v="Mentes Consumistas"/>
    <x v="124"/>
    <x v="37"/>
    <m/>
    <x v="1"/>
    <s v="Não"/>
  </r>
  <r>
    <s v="A Morte é um Dia que se Vale a Pena Viver"/>
    <x v="125"/>
    <x v="37"/>
    <m/>
    <x v="1"/>
    <s v="Não"/>
  </r>
  <r>
    <s v="Ventosaterapia"/>
    <x v="126"/>
    <x v="37"/>
    <m/>
    <x v="1"/>
    <s v="Não"/>
  </r>
  <r>
    <s v="Helena Blavatsky"/>
    <x v="127"/>
    <x v="37"/>
    <m/>
    <x v="1"/>
    <s v="Não"/>
  </r>
  <r>
    <s v="A Voz do Silêncio"/>
    <x v="128"/>
    <x v="37"/>
    <m/>
    <x v="1"/>
    <s v="Não"/>
  </r>
  <r>
    <s v="Porque Ética é mais Importante do que a Religião"/>
    <x v="129"/>
    <x v="37"/>
    <m/>
    <x v="1"/>
    <s v="Sim"/>
  </r>
  <r>
    <s v="Fernão Capelo Gaivota"/>
    <x v="130"/>
    <x v="37"/>
    <m/>
    <x v="1"/>
    <s v="Sim"/>
  </r>
  <r>
    <s v="O Livro Egipcio dos Mortos"/>
    <x v="9"/>
    <x v="37"/>
    <m/>
    <x v="1"/>
    <s v="Não"/>
  </r>
  <r>
    <s v="O Livro do Caminho e da Virtude"/>
    <x v="131"/>
    <x v="37"/>
    <m/>
    <x v="1"/>
    <s v="Não"/>
  </r>
  <r>
    <s v="Introdução ao Budismo"/>
    <x v="132"/>
    <x v="37"/>
    <m/>
    <x v="1"/>
    <s v="Não"/>
  </r>
  <r>
    <s v="O Principío do Relógio de Sol"/>
    <x v="133"/>
    <x v="37"/>
    <m/>
    <x v="1"/>
    <s v="Não"/>
  </r>
  <r>
    <s v="Crônicas da Galileia: Histórias do Tempo de Jesus"/>
    <x v="134"/>
    <x v="37"/>
    <m/>
    <x v="1"/>
    <s v="Sim"/>
  </r>
  <r>
    <s v="Fonte Viva"/>
    <x v="135"/>
    <x v="37"/>
    <m/>
    <x v="1"/>
    <s v="Abandonado"/>
  </r>
  <r>
    <s v="Evangelho Segundo o Espiritismo"/>
    <x v="136"/>
    <x v="37"/>
    <m/>
    <x v="1"/>
    <s v="Abandonado"/>
  </r>
  <r>
    <s v="Dias Melhores"/>
    <x v="137"/>
    <x v="37"/>
    <m/>
    <x v="1"/>
    <s v="Abandonado"/>
  </r>
  <r>
    <s v="Minutos de Sabedoria"/>
    <x v="138"/>
    <x v="37"/>
    <m/>
    <x v="1"/>
    <s v="Abandonado"/>
  </r>
  <r>
    <s v="Sutra Sagrada"/>
    <x v="139"/>
    <x v="37"/>
    <m/>
    <x v="1"/>
    <s v="Sim"/>
  </r>
  <r>
    <s v="Biblia Sagrada"/>
    <x v="9"/>
    <x v="37"/>
    <m/>
    <x v="1"/>
    <s v="Abandonado"/>
  </r>
  <r>
    <s v="Shinsokan e outras oraçõe"/>
    <x v="139"/>
    <x v="37"/>
    <m/>
    <x v="1"/>
    <s v="Sim"/>
  </r>
  <r>
    <s v="Cem Anos de Solidão"/>
    <x v="140"/>
    <x v="12"/>
    <m/>
    <x v="5"/>
    <s v="Não"/>
  </r>
  <r>
    <s v="O Castelo Animado"/>
    <x v="141"/>
    <x v="22"/>
    <m/>
    <x v="5"/>
    <s v="Não"/>
  </r>
  <r>
    <s v="O Castelo Animado - O Castelo no Ar"/>
    <x v="141"/>
    <x v="22"/>
    <m/>
    <x v="5"/>
    <s v="Não"/>
  </r>
  <r>
    <s v="O Castelo Animado - A casa dos muitos caminhos"/>
    <x v="141"/>
    <x v="22"/>
    <m/>
    <x v="5"/>
    <s v="Não"/>
  </r>
  <r>
    <s v="Alchemised"/>
    <x v="142"/>
    <x v="8"/>
    <m/>
    <x v="5"/>
    <s v="Não"/>
  </r>
  <r>
    <s v="As vinhas da Ira"/>
    <x v="143"/>
    <x v="12"/>
    <m/>
    <x v="5"/>
    <s v="Não"/>
  </r>
  <r>
    <s v="Velas Escarlates: conto feérico"/>
    <x v="144"/>
    <x v="11"/>
    <m/>
    <x v="5"/>
    <s v="Não"/>
  </r>
  <r>
    <s v="Cartas ao Papa Noel"/>
    <x v="91"/>
    <x v="33"/>
    <m/>
    <x v="5"/>
    <s v="Não"/>
  </r>
  <r>
    <s v="Hamnet"/>
    <x v="145"/>
    <x v="8"/>
    <m/>
    <x v="5"/>
    <s v="Não"/>
  </r>
  <r>
    <s v="Ainda Estou Aqui"/>
    <x v="146"/>
    <x v="27"/>
    <m/>
    <x v="5"/>
    <s v="Não"/>
  </r>
  <r>
    <s v="A Montanha Mágica"/>
    <x v="147"/>
    <x v="26"/>
    <m/>
    <x v="5"/>
    <s v="Não"/>
  </r>
  <r>
    <s v="O Povo do Ar 1 - O Principe Cruel"/>
    <x v="148"/>
    <x v="22"/>
    <m/>
    <x v="5"/>
    <s v="Não"/>
  </r>
  <r>
    <s v="O Povo do Ar 2 - O Rei Perverso"/>
    <x v="148"/>
    <x v="22"/>
    <m/>
    <x v="5"/>
    <s v="Não"/>
  </r>
  <r>
    <s v="O Povo do Ar 3 - A Rainha do Nada"/>
    <x v="148"/>
    <x v="22"/>
    <m/>
    <x v="5"/>
    <s v="Não"/>
  </r>
  <r>
    <s v="O Povo do Ar Spin Off 3 - O Canto Mais Escuro da Floresta"/>
    <x v="148"/>
    <x v="22"/>
    <m/>
    <x v="5"/>
    <s v="Não"/>
  </r>
  <r>
    <s v="Os Fragmentos do Bovadium"/>
    <x v="91"/>
    <x v="33"/>
    <m/>
    <x v="5"/>
    <s v="Não"/>
  </r>
  <r>
    <s v="As aventuras de Pedro Coelho"/>
    <x v="149"/>
    <x v="45"/>
    <m/>
    <x v="5"/>
    <s v="Sim"/>
  </r>
  <r>
    <s v="Ensaio Sobre a Cegueira"/>
    <x v="150"/>
    <x v="10"/>
    <m/>
    <x v="5"/>
    <s v="Não"/>
  </r>
  <r>
    <s v="Os 77 Melhores Contos de Hans Christian Andersen"/>
    <x v="151"/>
    <x v="2"/>
    <s v="978-8520944295"/>
    <x v="5"/>
    <s v="Não"/>
  </r>
  <r>
    <s v="A impostora: Yellowface"/>
    <x v="73"/>
    <x v="8"/>
    <s v="978-8551010075"/>
    <x v="5"/>
    <s v="Não"/>
  </r>
  <r>
    <s v="Babel: Ou a Necessidade da Violência"/>
    <x v="73"/>
    <x v="8"/>
    <s v="978-8551008997"/>
    <x v="5"/>
    <s v="Não"/>
  </r>
  <r>
    <s v="Coraline"/>
    <x v="152"/>
    <x v="8"/>
    <s v="978-8551006757"/>
    <x v="5"/>
    <s v="Não"/>
  </r>
  <r>
    <s v="Heidi: A Menina dos Alpes"/>
    <x v="153"/>
    <x v="46"/>
    <s v="978-6559280667"/>
    <x v="5"/>
    <s v="Não"/>
  </r>
  <r>
    <s v="Desventuras em Série 1 - Mau Começo"/>
    <x v="154"/>
    <x v="30"/>
    <m/>
    <x v="5"/>
    <s v="Sim"/>
  </r>
  <r>
    <s v="Desventuras em Série 2 - A Sala dos Répteis"/>
    <x v="154"/>
    <x v="30"/>
    <m/>
    <x v="5"/>
    <s v="Sim"/>
  </r>
  <r>
    <s v="Desventuras em Série 3 - O Lago das Sanguessugas"/>
    <x v="154"/>
    <x v="30"/>
    <m/>
    <x v="5"/>
    <s v="Sim"/>
  </r>
  <r>
    <s v="Desventuras em Série 4 - Serraria Baixo-Astral"/>
    <x v="154"/>
    <x v="30"/>
    <m/>
    <x v="5"/>
    <s v="Sim"/>
  </r>
  <r>
    <s v="Desventuras em Série 5 - Inferno no Colégio Interno"/>
    <x v="154"/>
    <x v="30"/>
    <m/>
    <x v="5"/>
    <s v="Sim"/>
  </r>
  <r>
    <s v="Desventuras em Série 6 - O Elevador Ersatz"/>
    <x v="154"/>
    <x v="30"/>
    <m/>
    <x v="5"/>
    <s v="Sim"/>
  </r>
  <r>
    <s v="Desventuras em Série 7 - A Cidade Sinistra dos Corvos"/>
    <x v="154"/>
    <x v="30"/>
    <m/>
    <x v="5"/>
    <s v="Não"/>
  </r>
  <r>
    <s v="Desventuras em Série 8 - O Hospital Hostil"/>
    <x v="154"/>
    <x v="30"/>
    <m/>
    <x v="5"/>
    <s v="Não"/>
  </r>
  <r>
    <s v="Desventuras em Série 9 - O Espetáculo Carnívoro"/>
    <x v="154"/>
    <x v="30"/>
    <m/>
    <x v="5"/>
    <s v="Não"/>
  </r>
  <r>
    <s v="Desventuras em Série 10 - O Escorregador de Gelo"/>
    <x v="154"/>
    <x v="30"/>
    <m/>
    <x v="5"/>
    <s v="Não"/>
  </r>
  <r>
    <s v="Desventuras em Série 11 - A Gruta Gorgônea"/>
    <x v="154"/>
    <x v="30"/>
    <m/>
    <x v="5"/>
    <s v="Não"/>
  </r>
  <r>
    <s v="Desventuras em Série 12 - O Penúltimo Perigo"/>
    <x v="154"/>
    <x v="30"/>
    <m/>
    <x v="5"/>
    <s v="Não"/>
  </r>
  <r>
    <s v="Desventuras em Série 13 - O Fim"/>
    <x v="154"/>
    <x v="30"/>
    <m/>
    <x v="5"/>
    <s v="Não"/>
  </r>
  <r>
    <s v="Crônicas de Âmbar 1 - Os Nove Príncipes de Âmbar"/>
    <x v="155"/>
    <x v="8"/>
    <m/>
    <x v="5"/>
    <s v="Não"/>
  </r>
  <r>
    <s v="Crônicas de Âmbar 2 - As Armas de Avalon"/>
    <x v="155"/>
    <x v="8"/>
    <m/>
    <x v="5"/>
    <s v="Não"/>
  </r>
  <r>
    <s v="Crônicas de Âmbar 3 - O Sinal do Unicórnio"/>
    <x v="155"/>
    <x v="8"/>
    <m/>
    <x v="5"/>
    <s v="Não"/>
  </r>
  <r>
    <s v="Crônicas de Âmbar 4 - A Mão de Oberon"/>
    <x v="155"/>
    <x v="8"/>
    <m/>
    <x v="5"/>
    <s v="Não"/>
  </r>
  <r>
    <s v="Crônicas de Âmbar 5 - As Cortes do Caos"/>
    <x v="155"/>
    <x v="8"/>
    <m/>
    <x v="5"/>
    <s v="Não"/>
  </r>
  <r>
    <s v="Crônicas de Âmbar 6 - Trunfos do Destino"/>
    <x v="155"/>
    <x v="8"/>
    <m/>
    <x v="5"/>
    <s v="Não"/>
  </r>
  <r>
    <s v="Crônicas de Âmbar 7 - O Sangue de Âmbar"/>
    <x v="155"/>
    <x v="8"/>
    <m/>
    <x v="5"/>
    <s v="Não"/>
  </r>
  <r>
    <s v="Crônicas de Âmbar 8 - O Sinal do Caos"/>
    <x v="155"/>
    <x v="8"/>
    <m/>
    <x v="5"/>
    <s v="Não"/>
  </r>
  <r>
    <s v="Crônicas de Âmbar 9 - Cavaleiro das Sombras"/>
    <x v="155"/>
    <x v="8"/>
    <m/>
    <x v="5"/>
    <s v="Não"/>
  </r>
  <r>
    <s v="Crônicas de Âmbar 10 - Príncipe do Caos"/>
    <x v="155"/>
    <x v="8"/>
    <m/>
    <x v="5"/>
    <s v="Não"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  <r>
    <m/>
    <x v="156"/>
    <x v="37"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Merlin, o Mágico"/>
    <s v="Anônimo"/>
    <x v="0"/>
  </r>
  <r>
    <s v="Patolino"/>
    <m/>
    <x v="0"/>
  </r>
  <r>
    <s v="A Princesa e a Ervilha"/>
    <s v="Sérgio Luiz de Oliveira Silva"/>
    <x v="1"/>
  </r>
  <r>
    <s v="Mini Livro Jó"/>
    <m/>
    <x v="1"/>
  </r>
  <r>
    <s v="Mini Livro Pastor"/>
    <m/>
    <x v="1"/>
  </r>
  <r>
    <s v="Bisa Bia, Bisa Bel"/>
    <s v="Ana Maria Machado"/>
    <x v="2"/>
  </r>
  <r>
    <s v="Contos de Fadas Capa vermelha"/>
    <m/>
    <x v="2"/>
  </r>
  <r>
    <s v="Carta errante, avó atrapalhada, menina aniversariante"/>
    <s v="Mirna Pinsky"/>
    <x v="3"/>
  </r>
  <r>
    <s v="Harry Potter e a Pedra Filosofal"/>
    <s v="J. K. Rowling"/>
    <x v="4"/>
  </r>
  <r>
    <s v="Harry Potter e a Câmara Secreta"/>
    <s v="J. K. Rowling"/>
    <x v="4"/>
  </r>
  <r>
    <s v="Um rio que vem da Grécia"/>
    <s v="Cláudio Moreno"/>
    <x v="5"/>
  </r>
  <r>
    <s v="Harry Potter e o Prisioneiro de Azkaban"/>
    <s v="J. K. Rowling"/>
    <x v="5"/>
  </r>
  <r>
    <s v="Brida"/>
    <s v="Paulo Coelho"/>
    <x v="5"/>
  </r>
  <r>
    <s v="Ciclo de Avalon - As Brumas de Avalon - A Senhora da Magia"/>
    <s v="Marion Zimmer Bradley"/>
    <x v="6"/>
  </r>
  <r>
    <s v="Ciclo de Avalon - As Brumas de Avalon - A Grande Rainha"/>
    <s v="Marion Zimmer Bradley"/>
    <x v="6"/>
  </r>
  <r>
    <s v="Harry Potter e o Cálice de Fogo"/>
    <s v="J. K. Rowling"/>
    <x v="7"/>
  </r>
  <r>
    <s v="Harry Potter e a Ordem da Fênix"/>
    <s v="J. K. Rowling"/>
    <x v="7"/>
  </r>
  <r>
    <s v="Harry Potter e o Enigma do Príncipe"/>
    <s v="J. K. Rowling"/>
    <x v="7"/>
  </r>
  <r>
    <s v="Ciclo de Avalon - As Brumas de Avalon - O Prisioneiro da Árvore"/>
    <s v="Marion Zimmer Bradley"/>
    <x v="7"/>
  </r>
  <r>
    <s v="Ciclo de Avalon - As Brumas de Avalon - O Gamo-Rei"/>
    <s v="Marion Zimmer Bradley"/>
    <x v="7"/>
  </r>
  <r>
    <s v="Harry Potter e as Relíquias da Morte"/>
    <s v="J. K. Rowling"/>
    <x v="8"/>
  </r>
  <r>
    <s v="As Primaveras (1867)"/>
    <s v="Casimiro Jose Marques de Abreu"/>
    <x v="8"/>
  </r>
  <r>
    <s v="Ramsés: O filho da luz"/>
    <s v="Christian Jacq"/>
    <x v="8"/>
  </r>
  <r>
    <s v="Ramsés: O Templo de Milhões de Anos"/>
    <s v="Christian Jacq"/>
    <x v="8"/>
  </r>
  <r>
    <s v="Mulheres que mudaram o mundo"/>
    <s v="Gabriel Chalita"/>
    <x v="8"/>
  </r>
  <r>
    <s v="Sutras Sagradas"/>
    <s v="Masaharu Taniguchi"/>
    <x v="8"/>
  </r>
  <r>
    <s v="&quot;Shinsokan&quot; e outras orações"/>
    <s v="Masaharu Taniguchi"/>
    <x v="8"/>
  </r>
  <r>
    <s v="O Menino do Dedo Verde"/>
    <s v="Maurice Druon"/>
    <x v="8"/>
  </r>
  <r>
    <s v="Pela porta do coração"/>
    <s v="Regina Coeli Rennó"/>
    <x v="8"/>
  </r>
  <r>
    <s v="Só é gordo quem quer"/>
    <s v="Uchôa Junior"/>
    <x v="8"/>
  </r>
  <r>
    <s v="Pelas Portas Do Coração"/>
    <s v="Zíbia Gasparetto"/>
    <x v="8"/>
  </r>
  <r>
    <s v="Laços Eternos"/>
    <s v="Zíbia Gasparetto"/>
    <x v="8"/>
  </r>
  <r>
    <s v="O Amor Venceu"/>
    <s v="Zíbia Gasparetto"/>
    <x v="8"/>
  </r>
  <r>
    <s v="Entre o Amor e a Guerra"/>
    <s v="Zíbia Gasparetto"/>
    <x v="8"/>
  </r>
  <r>
    <s v="A Casa"/>
    <s v="André Vianco"/>
    <x v="9"/>
  </r>
  <r>
    <s v="O Alquimista"/>
    <s v="Paulo Coelho"/>
    <x v="9"/>
  </r>
  <r>
    <s v="A Cabana"/>
    <s v="William P. Young"/>
    <x v="9"/>
  </r>
  <r>
    <s v="Ciclo de Avalon - A Sacerdotisa de Avalon"/>
    <s v="Marion Zimmer Bradley"/>
    <x v="10"/>
  </r>
  <r>
    <s v="O Livro dos Jovens"/>
    <s v="Masaharu Taniguchi"/>
    <x v="10"/>
  </r>
  <r>
    <s v="Educaçao Fisica Cuida Do Corpo...E &quot;Mente &quot;"/>
    <s v="João Paulo S. Medina"/>
    <x v="10"/>
  </r>
  <r>
    <s v="Aleph"/>
    <s v="Paulo Coelho"/>
    <x v="10"/>
  </r>
  <r>
    <s v="As Valkirias"/>
    <s v="Paulo Coelho"/>
    <x v="10"/>
  </r>
  <r>
    <s v="Terapia do Trabalho"/>
    <s v="Daniel Grippo"/>
    <x v="11"/>
  </r>
  <r>
    <s v="O Chá do Amor"/>
    <s v="Jennifer Donnelly"/>
    <x v="11"/>
  </r>
  <r>
    <s v="Vampiratas: Demônios do Oceano"/>
    <s v="Justin Somper"/>
    <x v="11"/>
  </r>
  <r>
    <s v="O que é Seicho-No-Ie"/>
    <s v="Masaharu Taniguchi"/>
    <x v="11"/>
  </r>
  <r>
    <s v="O Diário de um Mago"/>
    <s v="Paulo Coelho"/>
    <x v="11"/>
  </r>
  <r>
    <s v="Se Abrindo Para Vida "/>
    <s v="Zíbia Gasparetto"/>
    <x v="11"/>
  </r>
  <r>
    <s v="Entrevista Com o Vampiro"/>
    <s v="Anne Rice"/>
    <x v="12"/>
  </r>
  <r>
    <s v="A princesa à espera"/>
    <s v="Meg Cabot"/>
    <x v="12"/>
  </r>
  <r>
    <s v="A Princesa Apaixonada"/>
    <s v="Meg Cabot"/>
    <x v="12"/>
  </r>
  <r>
    <s v="A Princesa Sob os Refletores"/>
    <s v="Meg Cabot"/>
    <x v="12"/>
  </r>
  <r>
    <s v="A Princesa de Rosa-Shocking"/>
    <s v="Meg Cabot"/>
    <x v="12"/>
  </r>
  <r>
    <s v="O Diário da Princesa"/>
    <s v="Meg Cabot"/>
    <x v="12"/>
  </r>
  <r>
    <s v="A princesa em treinamento"/>
    <s v="Meg Cabot"/>
    <x v="12"/>
  </r>
  <r>
    <s v="Princesa Mia"/>
    <s v="Meg Cabot"/>
    <x v="12"/>
  </r>
  <r>
    <s v="A Princesa no Limite"/>
    <s v="Meg Cabot"/>
    <x v="12"/>
  </r>
  <r>
    <s v="A princesa na balada"/>
    <s v="Meg Cabot"/>
    <x v="12"/>
  </r>
  <r>
    <s v="Princesa para sempre"/>
    <s v="Meg Cabot"/>
    <x v="12"/>
  </r>
  <r>
    <s v="O Nome do Vento"/>
    <s v="Patrick Rothfuss"/>
    <x v="12"/>
  </r>
  <r>
    <s v="As Crônicas de Nárnia 1 - O Sobrinho do mago"/>
    <s v="C. S. Lewis"/>
    <x v="12"/>
  </r>
  <r>
    <s v="As Crônicas de Nárnia 2 - O Leão, a Feiticeira e o Guarda-roupas"/>
    <s v="C. S. Lewis"/>
    <x v="12"/>
  </r>
  <r>
    <s v="Pai Rico, Pai Pobre"/>
    <s v="Robert T. Kiyosaki"/>
    <x v="13"/>
  </r>
  <r>
    <s v="As Crônicas de Nárnia 3 - O Cavalo e seu Menino"/>
    <s v="C. S. Lewis"/>
    <x v="13"/>
  </r>
  <r>
    <s v="As Crônicas de Nárnia 4 - Príncipe Caspian"/>
    <s v="C. S. Lewis"/>
    <x v="13"/>
  </r>
  <r>
    <s v="Vampiratas: Demonios del Oceano"/>
    <s v="Justin Somper"/>
    <x v="13"/>
  </r>
  <r>
    <s v="Mujercitas"/>
    <s v="Louisa May Alcott"/>
    <x v="13"/>
  </r>
  <r>
    <s v="Marley e eu"/>
    <s v="John Grogan"/>
    <x v="14"/>
  </r>
  <r>
    <s v="Elantris"/>
    <s v="Brandon Sanderson"/>
    <x v="14"/>
  </r>
  <r>
    <s v="Eu sou o mensageiro"/>
    <s v="Markus Zusak"/>
    <x v="14"/>
  </r>
  <r>
    <s v="O Deus e o Imperador"/>
    <s v="Sam Meekings"/>
    <x v="14"/>
  </r>
  <r>
    <s v="Crônicas da Galiléia: Histórias do Tempo de Jesus"/>
    <s v="Ângelo Dias"/>
    <x v="15"/>
  </r>
  <r>
    <s v="o modo feliz de viver seicho no ie Ed. 2010"/>
    <s v="Seicho Taniguchi"/>
    <x v="15"/>
  </r>
  <r>
    <s v="Memórias de uma Costureira"/>
    <s v="Terezinha de Jseus Almeida"/>
    <x v="15"/>
  </r>
  <r>
    <s v="Desventuras em Série 3 - O Lago das Sanguessugas"/>
    <s v="Lemony Snicket"/>
    <x v="16"/>
  </r>
  <r>
    <s v="Pollyanna"/>
    <s v="Eleanor H. Porter"/>
    <x v="16"/>
  </r>
  <r>
    <s v="Desventuras em Série 2 - A Sala dos Répteis"/>
    <s v="Lemony Snicket"/>
    <x v="16"/>
  </r>
  <r>
    <s v="Desventuras em Série 1 -Mau Começo"/>
    <s v="Lemony Snicket"/>
    <x v="16"/>
  </r>
  <r>
    <s v="Como os animais salvaram minha vida"/>
    <s v="Luisa Mell"/>
    <x v="16"/>
  </r>
  <r>
    <s v="Desventuras em Série 5 - Inferno no Colégio Interno"/>
    <s v="Lemony Snicket"/>
    <x v="17"/>
  </r>
  <r>
    <s v="O Pequeno Príncipe"/>
    <s v="Antoine de Saint-Exupéry"/>
    <x v="17"/>
  </r>
  <r>
    <s v="Pilates sem Riscos: os Riscos mais Comuns e como Evitá-los"/>
    <s v="Blandine Calais-Germain"/>
    <x v="17"/>
  </r>
  <r>
    <s v="Comer, Rezar, Amar - Ediao Comemorativa"/>
    <s v="Elizabeth Gilbert"/>
    <x v="17"/>
  </r>
  <r>
    <s v="Pilates para grávidas: Exercícios simples e seguros para antes e depois do parto"/>
    <s v="Jan Endacott"/>
    <x v="17"/>
  </r>
  <r>
    <s v="A Obra completa de Joseph Pilates: Sua Saúde"/>
    <s v="Joseph Pilates"/>
    <x v="17"/>
  </r>
  <r>
    <s v="A Obra completa de Joseph Pilates:  Retorno à Vida Através da Contrologia"/>
    <s v="Joseph Pilates"/>
    <x v="17"/>
  </r>
  <r>
    <s v="Desventuras em Série 4 - Serraria Baixo-Astral"/>
    <s v="Lemony Snicket"/>
    <x v="17"/>
  </r>
  <r>
    <s v="Percy Jackson e os Olimpianos - O Mar de Monstros"/>
    <s v="Rick Riordan"/>
    <x v="17"/>
  </r>
  <r>
    <s v="Percy Jackson e os Olimpianos - A Batalha do Labirinto"/>
    <s v="Rick Riordan"/>
    <x v="17"/>
  </r>
  <r>
    <s v="Percy Jackson e os Olimpianos - A Maldição do Titã"/>
    <s v="Rick Riordan"/>
    <x v="17"/>
  </r>
  <r>
    <s v="Percy Jackson e os Olimpianos - O Ladrão de Raios"/>
    <s v="Rick Riordan"/>
    <x v="17"/>
  </r>
  <r>
    <s v="Percy Jackson e os Olimpianos - O Último Olimpiano"/>
    <s v="Rick Riordan"/>
    <x v="17"/>
  </r>
  <r>
    <s v="Método Delavier de musculação"/>
    <s v="Frédéric Delavier, Michael Gundill"/>
    <x v="18"/>
  </r>
  <r>
    <s v="Contentamento"/>
    <s v="Dalai Lama XIV"/>
    <x v="19"/>
  </r>
  <r>
    <s v="Agua para elefantes"/>
    <s v="Sara Gruen"/>
    <x v="20"/>
  </r>
  <r>
    <s v="Romeu e Julieta"/>
    <s v="William Shakespeare"/>
    <x v="21"/>
  </r>
  <r>
    <s v="Jogos Vorazes"/>
    <s v="Suzanne Collins"/>
    <x v="22"/>
  </r>
  <r>
    <s v="Jogos Vorazes -  Em Chamas"/>
    <s v="Suzanne Collins"/>
    <x v="23"/>
  </r>
  <r>
    <s v="Jogos Vorazes -  A Esperança"/>
    <s v="Suzanne Collins"/>
    <x v="24"/>
  </r>
  <r>
    <s v="Viagem À Lua De Canoa"/>
    <s v="Hugo Almeida"/>
    <x v="25"/>
  </r>
  <r>
    <s v="O que é o mistério"/>
    <s v="Anônimo"/>
    <x v="26"/>
  </r>
  <r>
    <s v="Avaliacao e Prescricao de Exercicios Fisicos: Normas e Diretrizes"/>
    <s v="Various"/>
    <x v="27"/>
  </r>
  <r>
    <s v="Os Heróis do Olimpo - O Herói Perdido"/>
    <s v="Rick Riordan"/>
    <x v="28"/>
  </r>
  <r>
    <s v="Encarnação"/>
    <s v="José de Alencar"/>
    <x v="29"/>
  </r>
  <r>
    <s v="Os Heróis do Olimpo - O Filho de Netuno"/>
    <s v="Rick Riordan"/>
    <x v="30"/>
  </r>
  <r>
    <s v="Os Heróis do Olimpo - A Marca de Atena"/>
    <s v="Rick Riordan"/>
    <x v="31"/>
  </r>
  <r>
    <s v="Memórias de minhas putas tristes"/>
    <s v="Gabriel García Márquez"/>
    <x v="32"/>
  </r>
  <r>
    <s v="Por que Etica E Mais Importante do que Religiao"/>
    <s v="Dalai Lama XIV, Franz Alt"/>
    <x v="33"/>
  </r>
  <r>
    <s v="As Crônicas de Nárnia 5 - A Viagem do Peregrino da Alvorada"/>
    <s v="C. S. Lewis"/>
    <x v="34"/>
  </r>
  <r>
    <s v="Alma de Minh'Alma"/>
    <s v="J.W. Rochester"/>
    <x v="35"/>
  </r>
  <r>
    <s v="Os Heróis do Olimpo - A Casa de Hades"/>
    <s v="Rick Riordan"/>
    <x v="36"/>
  </r>
  <r>
    <s v="Os Heróis do Olimpo - O Sangue do Olimpo"/>
    <s v="Rick Riordan"/>
    <x v="37"/>
  </r>
  <r>
    <s v="Capitães da Areia"/>
    <s v="Jorge Amado"/>
    <x v="38"/>
  </r>
  <r>
    <s v="Frankenstein Ou o Prometeu Moderno"/>
    <s v="Mary Shelley"/>
    <x v="39"/>
  </r>
  <r>
    <s v="A Arte da Guerra"/>
    <s v="Sun Tzu"/>
    <x v="40"/>
  </r>
  <r>
    <s v="Hamlet"/>
    <s v="William Shakespeare"/>
    <x v="41"/>
  </r>
  <r>
    <s v="O Hobbit"/>
    <s v="J.R.R. Tolkien"/>
    <x v="42"/>
  </r>
  <r>
    <s v="Todos Podem Ter Sucesso"/>
    <s v="Katsumi Tokuhisa"/>
    <x v="42"/>
  </r>
  <r>
    <s v="Avanços no Treinamento Funcional"/>
    <s v="Michael Boyle"/>
    <x v="43"/>
  </r>
  <r>
    <s v="Vidas Secas"/>
    <s v="Graciliano Ramos"/>
    <x v="44"/>
  </r>
  <r>
    <s v="O Guia do Mochileiro das Galáxias"/>
    <s v="Douglas Adams"/>
    <x v="45"/>
  </r>
  <r>
    <s v="Fronteiras do Universo -  A Bússola de Ouro"/>
    <s v="Philip Pullman"/>
    <x v="46"/>
  </r>
  <r>
    <s v="O Maravilhoso Mágico de Oz"/>
    <s v="Eric Shanower"/>
    <x v="47"/>
  </r>
  <r>
    <s v="Fernão Capelo Gaivota"/>
    <s v="Richard Bach"/>
    <x v="48"/>
  </r>
  <r>
    <s v="O Labirinto de Ossos"/>
    <s v="Rick Riordan"/>
    <x v="49"/>
  </r>
  <r>
    <s v="Jane Eyre"/>
    <s v="Charlotte Brontë"/>
    <x v="50"/>
  </r>
  <r>
    <s v="O Conto da Aia"/>
    <s v="Margaret Atwood"/>
    <x v="51"/>
  </r>
  <r>
    <s v="Alice no País das Maravilhas"/>
    <s v="Lewis Carroll"/>
    <x v="52"/>
  </r>
  <r>
    <s v="Fronteiras do Universo -  A Faca Sutil"/>
    <s v="Philip Pullman"/>
    <x v="53"/>
  </r>
  <r>
    <s v="O cão alegre"/>
    <s v="Jo Yong"/>
    <x v="54"/>
  </r>
  <r>
    <s v="Criança zumbi"/>
    <s v="Jo Yong"/>
    <x v="54"/>
  </r>
  <r>
    <s v="O menino que se alimentava de pesadelos"/>
    <s v="Jo Yong"/>
    <x v="54"/>
  </r>
  <r>
    <s v="A mão e o tamboril"/>
    <s v="Jo Yong"/>
    <x v="54"/>
  </r>
  <r>
    <s v="Em busca da feição real"/>
    <s v="Jo Yong"/>
    <x v="54"/>
  </r>
  <r>
    <s v="Alice através do espelho e o que ela encontrou lá"/>
    <s v="Lewis Carroll"/>
    <x v="55"/>
  </r>
  <r>
    <s v="Desventuras em Série - O Elevador Ersatz"/>
    <s v="Lemony Snicket"/>
    <x v="56"/>
  </r>
  <r>
    <s v="Prince of Thorns"/>
    <s v="Mark Lawrence"/>
    <x v="57"/>
  </r>
  <r>
    <s v="Punição para a Inocência"/>
    <s v="Agatha Christie"/>
    <x v="58"/>
  </r>
  <r>
    <s v="O Nariz / Diário de um Louco"/>
    <s v="Nikolai Gogol"/>
    <x v="59"/>
  </r>
  <r>
    <s v="Os contos de Beedle, o Bardo"/>
    <s v="J. K. Rowling"/>
    <x v="60"/>
  </r>
  <r>
    <s v="Eu Sou a Lenda"/>
    <s v="Richard Matheson"/>
    <x v="61"/>
  </r>
  <r>
    <s v="Um Mistério no Caribe"/>
    <s v="Agatha Christie"/>
    <x v="62"/>
  </r>
  <r>
    <s v="A importância do Pilates na Gestação"/>
    <s v="Pablo Morales Barbian"/>
    <x v="63"/>
  </r>
  <r>
    <s v="Meu Pé de Laranja Lima"/>
    <s v="José Mauro de Vasconcelos"/>
    <x v="64"/>
  </r>
  <r>
    <s v="A Revolução dos Bichos"/>
    <s v="George Orwell"/>
    <x v="65"/>
  </r>
  <r>
    <s v="Guia Completo de Pilates"/>
    <s v="Alan Herdman"/>
    <x v="66"/>
  </r>
  <r>
    <s v="A Cartomante"/>
    <s v="Machado de Assis"/>
    <x v="67"/>
  </r>
  <r>
    <s v="A causa secreta: conto"/>
    <s v="Machado de Assis"/>
    <x v="67"/>
  </r>
  <r>
    <s v="O Menino, a Toupeira, a Raposa e o Cavalo"/>
    <s v="Charlie Mackesy"/>
    <x v="68"/>
  </r>
  <r>
    <s v="A parte que Falta"/>
    <s v="Shel Silverstein"/>
    <x v="68"/>
  </r>
  <r>
    <s v="A parte que falta encontra o grande O"/>
    <s v="Shel Silverstein"/>
    <x v="69"/>
  </r>
  <r>
    <s v="Cem: O que aprendemos na vida"/>
    <s v="Valerio Vidali, Heike Faller"/>
    <x v="69"/>
  </r>
  <r>
    <s v="Dom Quixote"/>
    <s v="Miguel de Cervantes"/>
    <x v="70"/>
  </r>
  <r>
    <s v="Maus: A História de um Sobrevivente"/>
    <s v="Art Spiegelman"/>
    <x v="71"/>
  </r>
  <r>
    <s v="Noite Sem Fim"/>
    <s v="Agatha Christie"/>
    <x v="72"/>
  </r>
  <r>
    <s v="Contos de Amor e Ciúme"/>
    <s v="Machado de Assis"/>
    <x v="73"/>
  </r>
  <r>
    <s v="O Médico e O Monstro &amp; Outros Experimentos"/>
    <s v="Robert Louis Stevenson"/>
    <x v="74"/>
  </r>
  <r>
    <s v="As Coisas Que Você Só Vê Quando Desacelera"/>
    <s v="Haemin Sunim"/>
    <x v="75"/>
  </r>
  <r>
    <s v="As Crônicas de Nárnia 6 - A Cadeira de Prata"/>
    <s v="C. S. Lewis"/>
    <x v="76"/>
  </r>
  <r>
    <s v="O Amante"/>
    <s v="Marguerite Duras"/>
    <x v="77"/>
  </r>
  <r>
    <s v="O Sequestro do Primeiro Ministro"/>
    <s v="Agatha Christie"/>
    <x v="78"/>
  </r>
  <r>
    <s v="O Estrangeiro"/>
    <s v="Albert Camus"/>
    <x v="78"/>
  </r>
  <r>
    <s v="A Canção dos Shenlongs: Guerras Épicas do Império de Housai"/>
    <s v="Diogo Andrade"/>
    <x v="78"/>
  </r>
  <r>
    <s v="O cavaleiro Preso na Armadura"/>
    <s v="Robert Fisher"/>
    <x v="79"/>
  </r>
  <r>
    <s v="Jesus Rocks - English version"/>
    <s v="Brão Barbosa"/>
    <x v="80"/>
  </r>
  <r>
    <s v="A Iara: Uma lenda indígena em quadrinhos"/>
    <s v="Silvino"/>
    <x v="81"/>
  </r>
  <r>
    <s v="Turma da Onça Pintada -  Cadê o Rodolfo?"/>
    <s v="Anônimo"/>
    <x v="82"/>
  </r>
  <r>
    <s v="Turma da Onça Pintada -  Romeu foi Clonado?"/>
    <s v="Anônimo"/>
    <x v="82"/>
  </r>
  <r>
    <s v="Turma da Onça Pintada - Uma Nova Amizade"/>
    <s v="Anônimo"/>
    <x v="82"/>
  </r>
  <r>
    <s v="Turma da Onça Pintada - A grande corrida"/>
    <s v="Anônimo"/>
    <x v="82"/>
  </r>
  <r>
    <s v="Turma da Onça Pintada - Festa na Floresta"/>
    <s v="Anônimo"/>
    <x v="82"/>
  </r>
  <r>
    <s v="O Corpo Pilates. Um Guia Para Fortalecimento, Alongamento E Tonificação Sem O Uso De Máquinas"/>
    <s v="Brooke Siler"/>
    <x v="83"/>
  </r>
  <r>
    <s v="A Tempestade"/>
    <s v="Lillo Parra"/>
    <x v="83"/>
  </r>
  <r>
    <s v="Pilates Para Você"/>
    <s v="Ann Crowther"/>
    <x v="84"/>
  </r>
  <r>
    <s v="O Mundo de Sofia"/>
    <s v="Jostein Gaarder"/>
    <x v="85"/>
  </r>
  <r>
    <s v="A Princesinha"/>
    <s v="Frances Hodgson Burnett"/>
    <x v="86"/>
  </r>
  <r>
    <s v="LPF 1"/>
    <s v="Anônimo"/>
    <x v="87"/>
  </r>
  <r>
    <s v="LPF 2"/>
    <s v="Anônimo"/>
    <x v="88"/>
  </r>
  <r>
    <s v="LPF 3"/>
    <s v="Anônimo"/>
    <x v="88"/>
  </r>
  <r>
    <s v="Curso Essencial de Pilates"/>
    <s v="Hayes"/>
    <x v="89"/>
  </r>
  <r>
    <s v="O Labirinto Do Fauno"/>
    <s v="Guillermo del Toro, Cornelia Funke"/>
    <x v="90"/>
  </r>
  <r>
    <s v="Fronteiras do Universo -  A Luneta Âmbar"/>
    <s v="Philip Pullman"/>
    <x v="91"/>
  </r>
  <r>
    <s v="O milagre da manhã"/>
    <s v="Hal Elrod"/>
    <x v="92"/>
  </r>
  <r>
    <s v="Dom Casmurro"/>
    <s v="Machado de Assis"/>
    <x v="93"/>
  </r>
  <r>
    <s v="O que é Depressão"/>
    <s v="Borchard"/>
    <x v="94"/>
  </r>
  <r>
    <s v="A Árvore em Mim"/>
    <s v="Corinna Luyken, Susana Cardoso Ferreira"/>
    <x v="94"/>
  </r>
  <r>
    <s v="Quando Mamãe ou Papai Morre"/>
    <s v="GRIPPO"/>
    <x v="94"/>
  </r>
  <r>
    <s v="Because of You, Mom"/>
    <s v="Kobi Yamada"/>
    <x v="94"/>
  </r>
  <r>
    <s v="Amanhã"/>
    <s v="Lucia Hiratsuka"/>
    <x v="94"/>
  </r>
  <r>
    <s v="O que Acontece Quando Aguem Morre?"/>
    <s v="Mundy Michaelene"/>
    <x v="94"/>
  </r>
  <r>
    <s v="Amiga ursa – Uma história triste, mas com final feliz"/>
    <s v="Rita Lee"/>
    <x v="94"/>
  </r>
  <r>
    <s v="O que eu faço com esse buraco?"/>
    <s v="Rossana Ramos"/>
    <x v="94"/>
  </r>
  <r>
    <s v="Uma Grande Amizade"/>
    <s v="Flávio Colombini"/>
    <x v="95"/>
  </r>
  <r>
    <s v="Bom soninho, Lili!"/>
    <s v="Tia Cris"/>
    <x v="95"/>
  </r>
  <r>
    <s v="O dia em que adotei o Pipoca"/>
    <s v="Verônica Matioli"/>
    <x v="95"/>
  </r>
  <r>
    <s v="A mulher em mim"/>
    <s v="Britney Spears"/>
    <x v="96"/>
  </r>
  <r>
    <s v="Vamos Aquecer o Sol "/>
    <s v="José Mauro de Vasconcelos"/>
    <x v="97"/>
  </r>
  <r>
    <s v="Doidão"/>
    <s v="José Mauro de Vasconcelos"/>
    <x v="98"/>
  </r>
  <r>
    <s v="Roverando"/>
    <s v="J. R. R. Tolkien"/>
    <x v="99"/>
  </r>
  <r>
    <s v="Diário de uma ansiosa ou como parei de me sabotar"/>
    <s v="Beth Evans"/>
    <x v="100"/>
  </r>
  <r>
    <s v="Olhos d'água"/>
    <s v="Conceição Evaristo"/>
    <x v="101"/>
  </r>
  <r>
    <s v="Drácula"/>
    <s v="Bram Stoker"/>
    <x v="102"/>
  </r>
  <r>
    <s v="As Crônicas de Nárnia 7 - A Ultima Batalha "/>
    <s v="C. S. Lewis"/>
    <x v="103"/>
  </r>
  <r>
    <s v="Três Maneiras de Escrever para Crianças"/>
    <s v="C. S. Lewis"/>
    <x v="103"/>
  </r>
  <r>
    <s v="Harry Potter - Natal em Hogwarts"/>
    <s v="J. K. Rowling"/>
    <x v="104"/>
  </r>
  <r>
    <s v="O gato que amava livros"/>
    <s v="Sōsuke Natsukawa"/>
    <x v="105"/>
  </r>
  <r>
    <s v="Porque Não Pediram a Evans?"/>
    <s v="Agatha Christie"/>
    <x v="106"/>
  </r>
  <r>
    <s v="Vai dar tudo certo"/>
    <s v="Lysa Terkeurst"/>
    <x v="107"/>
  </r>
  <r>
    <s v="O Retrato de Dorian Gray"/>
    <s v="Oscar Wilde"/>
    <x v="107"/>
  </r>
  <r>
    <s v="O jumentinho que carregou um rei"/>
    <s v="R.C. Sproul, Chuck Groenink"/>
    <x v="107"/>
  </r>
  <r>
    <s v="O Príncipe"/>
    <s v="Niccolò Machiavelli"/>
    <x v="108"/>
  </r>
  <r>
    <s v="Lendas Japonesas"/>
    <s v="Loputyn"/>
    <x v="109"/>
  </r>
  <r>
    <s v="Auto da Barca do Inferno"/>
    <s v="Gil Vicente"/>
    <x v="110"/>
  </r>
  <r>
    <s v="O auto da compadecida"/>
    <s v="Ariano Suassuna"/>
    <x v="111"/>
  </r>
  <r>
    <s v="O Navio Negreiro"/>
    <s v="Castro Alves"/>
    <x v="112"/>
  </r>
  <r>
    <s v="Battle Royale"/>
    <s v="Koushun Takami"/>
    <x v="113"/>
  </r>
  <r>
    <s v="O Morro dos Ventos Uivantes"/>
    <s v="Emily Brontë"/>
    <x v="114"/>
  </r>
  <r>
    <s v="O Menino Marrom"/>
    <s v="Ziraldo"/>
    <x v="115"/>
  </r>
  <r>
    <s v="Matilda"/>
    <s v="Roald Dahl"/>
    <x v="116"/>
  </r>
  <r>
    <s v="O Estranho Mundo de Jack"/>
    <s v="Sally Morgan"/>
    <x v="117"/>
  </r>
  <r>
    <s v="O curioso caso de Benjamin Button"/>
    <s v="F. Scott Fitzgerald"/>
    <x v="118"/>
  </r>
  <r>
    <s v="Agnes Grey"/>
    <s v="Anne Brontë"/>
    <x v="119"/>
  </r>
  <r>
    <s v="O Ickabog"/>
    <s v="J. K. Rowling"/>
    <x v="120"/>
  </r>
  <r>
    <s v="Onze minutos"/>
    <s v="Paulo Coelho"/>
    <x v="121"/>
  </r>
  <r>
    <s v="Malala: A Menina que Queria ir para a Escola"/>
    <s v="Adriana Carranca"/>
    <x v="122"/>
  </r>
  <r>
    <s v="O Velho e o Mar"/>
    <s v="Ernest Hemingway"/>
    <x v="123"/>
  </r>
  <r>
    <s v="Cem Gramas de Centeio"/>
    <s v="Agatha Christie"/>
    <x v="124"/>
  </r>
  <r>
    <s v="A teia de Charlotte"/>
    <s v="E.B. White"/>
    <x v="125"/>
  </r>
  <r>
    <s v="Jogos Vorazes - A Cantiga dos Pássaros e das Serpentes"/>
    <s v="Suzanne Collins"/>
    <x v="126"/>
  </r>
  <r>
    <s v="Os Quatro Grandes"/>
    <s v="Agatha Christie"/>
    <x v="127"/>
  </r>
  <r>
    <s v="Assassinato no Expresso do Oriente"/>
    <s v="Agatha Christie"/>
    <x v="128"/>
  </r>
  <r>
    <s v="Ferreiro do Bosque Maior"/>
    <s v="J. R. R. Tolkien"/>
    <x v="129"/>
  </r>
  <r>
    <s v="Ali Baba e os quarenta ladrões"/>
    <s v="Carlos Heitor Cony"/>
    <x v="130"/>
  </r>
  <r>
    <s v="Aladim e a lâmpada maravilhosa: Adaptação de um conto das Mil e Uma Noites"/>
    <s v="Carlos Heitor Cony"/>
    <x v="130"/>
  </r>
  <r>
    <s v="O califa de Bagdá"/>
    <s v="Carlos Heitor Cony"/>
    <x v="131"/>
  </r>
  <r>
    <s v="Sr. Boaventura"/>
    <s v="J. R. R. Tolkien"/>
    <x v="132"/>
  </r>
  <r>
    <s v="Sindba o marujo"/>
    <s v="Carlos Heitor Cony"/>
    <x v="133"/>
  </r>
  <r>
    <s v="Cadadad e seus irmaos"/>
    <s v="Monteiro Lobato"/>
    <x v="133"/>
  </r>
  <r>
    <s v="A princesa de deriabar"/>
    <s v="Monteiro Lobato"/>
    <x v="133"/>
  </r>
  <r>
    <s v="O Jardim Secreto"/>
    <s v="Frances Hodgson Burnett"/>
    <x v="134"/>
  </r>
  <r>
    <s v="O patinho feio e outras histórias"/>
    <s v="Hans Christian Andersen"/>
    <x v="135"/>
  </r>
  <r>
    <s v="O homem que falava javanês"/>
    <s v="Lima Barreto"/>
    <x v="136"/>
  </r>
  <r>
    <s v="Mestre Giles d'Aldeia"/>
    <s v="J. R. R. Tolkien"/>
    <x v="137"/>
  </r>
  <r>
    <n v="1984"/>
    <s v="George Orwell"/>
    <x v="138"/>
  </r>
  <r>
    <s v="O Silmarillion"/>
    <s v="J. R. R. Tolkien"/>
    <x v="139"/>
  </r>
  <r>
    <s v="O Mistério dos Sete Relógios"/>
    <s v="Agatha Christie"/>
    <x v="140"/>
  </r>
  <r>
    <s v="Jogos Vorazes -  Amanhecer na Colheita"/>
    <s v="Suzanne Collins"/>
    <x v="141"/>
  </r>
  <r>
    <s v="A Mulher De Trinta Anos"/>
    <s v="Honoré de Balzac"/>
    <x v="142"/>
  </r>
  <r>
    <s v="A montanha do poder - Origem: Japão"/>
    <s v="Patricia Engel Secco"/>
    <x v="143"/>
  </r>
  <r>
    <s v="A sombra do vento"/>
    <s v="Carlos Ruiz Zafón"/>
    <x v="144"/>
  </r>
  <r>
    <s v="E Não Sobrou Nenhum"/>
    <s v="Agatha Christie"/>
    <x v="145"/>
  </r>
  <r>
    <s v="O Sol é para todos"/>
    <s v="Harper Lee"/>
    <x v="146"/>
  </r>
  <r>
    <s v="Stuart Little"/>
    <s v="E.B. White"/>
    <x v="147"/>
  </r>
  <r>
    <s v="Os Testamentos"/>
    <s v="Margaret Atwood"/>
    <x v="148"/>
  </r>
  <r>
    <s v="Os Filhos de Húrin"/>
    <s v="J. R. R. Tolkien"/>
    <x v="149"/>
  </r>
  <r>
    <s v="O fantástico senhor Raposo"/>
    <s v="Roald Dahl"/>
    <x v="150"/>
  </r>
  <r>
    <s v="As Aventuras de Pinóquio: História de um Boneco"/>
    <s v="Carlo Collodi"/>
    <x v="151"/>
  </r>
  <r>
    <s v="A Biblioteca da Meia-Noite"/>
    <s v="Matt Haig"/>
    <x v="152"/>
  </r>
  <r>
    <s v="A Volta ao Mundo em 80 Dias "/>
    <s v=" Jules Verne"/>
    <x v="153"/>
  </r>
  <r>
    <s v="Memorias de Um Sargento de Milicias: Romance de Costumes Brasileiros..."/>
    <s v="Manuel Antônio de Almeida"/>
    <x v="154"/>
  </r>
  <r>
    <s v="Admirável Mundo Novo"/>
    <s v="Aldous Huxley"/>
    <x v="155"/>
  </r>
  <r>
    <s v="talvez a sua jornada agora seja só sobre você: crônicas"/>
    <s v="Iandê Albuquerque"/>
    <x v="156"/>
  </r>
  <r>
    <s v="O Cão dos Baskerville"/>
    <s v="Arthur Conan Doyle"/>
    <x v="157"/>
  </r>
  <r>
    <s v="As Nódoas de Sangue / O Último Adeus"/>
    <s v="Arthur Conan Doyle"/>
    <x v="158"/>
  </r>
  <r>
    <s v="Adventure of the Abbey Grange"/>
    <s v="Arthur Conan Doyle"/>
    <x v="159"/>
  </r>
  <r>
    <s v="A Tragédia do Glória Scott * O Estrela de Prata * O Tratado Naval "/>
    <s v="Arthur Conan Doyle"/>
    <x v="159"/>
  </r>
  <r>
    <s v="Ancestrais de Avalon: as origens atlantes da poderosa ilha de Avalon"/>
    <s v="Marion Zimmer Bradley, Diana L. Paxson"/>
    <x v="160"/>
  </r>
  <r>
    <s v="Árvore e Folha"/>
    <s v="J. R. R. Tolkien"/>
    <x v="161"/>
  </r>
  <r>
    <s v="Sonho de uma Noite de Verão"/>
    <s v="William Shakespeare"/>
    <x v="162"/>
  </r>
  <r>
    <s v="Ponte Para Terabítia"/>
    <s v="Katherine Paterson"/>
    <x v="163"/>
  </r>
  <r>
    <s v="Caninos Brancos"/>
    <s v="Jack London"/>
    <x v="164"/>
  </r>
  <r>
    <s v="O Garoto do Riquixá"/>
    <s v="Lao She"/>
    <x v="165"/>
  </r>
  <r>
    <s v="As aventuras de Pedro Coelho"/>
    <s v="Beatrix Potter"/>
    <x v="166"/>
  </r>
  <r>
    <s v="Terra-média -  Beren e Luthien"/>
    <s v="J. R. R. Tolkien"/>
    <x v="167"/>
  </r>
  <r>
    <s v="As Minas do Rei Salomão"/>
    <s v="Henry Rider Haggard"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  <r>
    <m/>
    <m/>
    <x v="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E2DAC-3373-48B4-A400-892D4D47491E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6">
    <pivotField dataField="1" showAll="0"/>
    <pivotField showAll="0"/>
    <pivotField showAll="0"/>
    <pivotField showAll="0"/>
    <pivotField axis="axisRow" showAll="0">
      <items count="11">
        <item x="3"/>
        <item x="7"/>
        <item x="4"/>
        <item x="2"/>
        <item x="9"/>
        <item x="0"/>
        <item x="8"/>
        <item x="6"/>
        <item x="5"/>
        <item x="1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Nome" fld="0" subtotal="count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F40E1-9139-4BFC-B333-C54EDDA2CEC8}" name="Tabela dinâ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4">
  <location ref="A3:B161" firstHeaderRow="1" firstDataRow="1" firstDataCol="1"/>
  <pivotFields count="6">
    <pivotField dataField="1" showAll="0"/>
    <pivotField axis="axisRow" showAll="0">
      <items count="168">
        <item x="27"/>
        <item x="109"/>
        <item x="72"/>
        <item x="93"/>
        <item x="87"/>
        <item x="144"/>
        <item x="49"/>
        <item x="57"/>
        <item x="136"/>
        <item x="124"/>
        <item x="125"/>
        <item x="9"/>
        <item m="1" x="159"/>
        <item m="1" x="161"/>
        <item x="108"/>
        <item x="126"/>
        <item x="36"/>
        <item x="89"/>
        <item x="51"/>
        <item x="149"/>
        <item x="44"/>
        <item x="138"/>
        <item x="33"/>
        <item x="107"/>
        <item x="134"/>
        <item x="75"/>
        <item x="80"/>
        <item x="100"/>
        <item x="54"/>
        <item x="37"/>
        <item x="31"/>
        <item x="26"/>
        <item x="118"/>
        <item x="95"/>
        <item x="129"/>
        <item x="10"/>
        <item x="90"/>
        <item m="1" x="160"/>
        <item x="141"/>
        <item m="1" x="158"/>
        <item x="82"/>
        <item x="114"/>
        <item x="2"/>
        <item x="105"/>
        <item x="43"/>
        <item x="65"/>
        <item x="6"/>
        <item x="30"/>
        <item x="38"/>
        <item x="13"/>
        <item x="104"/>
        <item x="135"/>
        <item x="62"/>
        <item x="63"/>
        <item x="140"/>
        <item x="102"/>
        <item x="0"/>
        <item x="132"/>
        <item x="20"/>
        <item x="16"/>
        <item x="47"/>
        <item x="11"/>
        <item x="66"/>
        <item x="128"/>
        <item x="55"/>
        <item x="148"/>
        <item x="7"/>
        <item x="101"/>
        <item m="1" x="157"/>
        <item x="137"/>
        <item x="5"/>
        <item x="14"/>
        <item x="50"/>
        <item x="91"/>
        <item m="1" x="166"/>
        <item m="1" x="163"/>
        <item m="1" x="165"/>
        <item x="45"/>
        <item m="1" x="162"/>
        <item x="19"/>
        <item x="103"/>
        <item x="56"/>
        <item x="120"/>
        <item x="29"/>
        <item x="18"/>
        <item x="68"/>
        <item x="79"/>
        <item x="28"/>
        <item x="143"/>
        <item x="32"/>
        <item x="1"/>
        <item x="99"/>
        <item x="52"/>
        <item x="97"/>
        <item x="21"/>
        <item x="111"/>
        <item x="86"/>
        <item x="106"/>
        <item x="78"/>
        <item x="98"/>
        <item x="131"/>
        <item x="112"/>
        <item x="3"/>
        <item x="116"/>
        <item x="4"/>
        <item x="15"/>
        <item x="145"/>
        <item x="60"/>
        <item x="34"/>
        <item x="146"/>
        <item x="84"/>
        <item x="77"/>
        <item x="76"/>
        <item x="40"/>
        <item x="42"/>
        <item x="139"/>
        <item x="133"/>
        <item x="23"/>
        <item x="110"/>
        <item x="46"/>
        <item x="96"/>
        <item x="61"/>
        <item x="115"/>
        <item x="22"/>
        <item x="59"/>
        <item x="121"/>
        <item x="71"/>
        <item x="35"/>
        <item x="70"/>
        <item x="73"/>
        <item x="88"/>
        <item x="122"/>
        <item x="130"/>
        <item x="69"/>
        <item x="119"/>
        <item x="113"/>
        <item x="41"/>
        <item x="123"/>
        <item x="25"/>
        <item x="142"/>
        <item x="48"/>
        <item x="127"/>
        <item x="74"/>
        <item x="85"/>
        <item x="24"/>
        <item x="39"/>
        <item x="147"/>
        <item x="8"/>
        <item x="83"/>
        <item x="12"/>
        <item x="67"/>
        <item x="64"/>
        <item x="81"/>
        <item x="58"/>
        <item x="17"/>
        <item x="53"/>
        <item m="1" x="164"/>
        <item x="117"/>
        <item x="156"/>
        <item x="92"/>
        <item x="94"/>
        <item x="150"/>
        <item x="151"/>
        <item x="152"/>
        <item x="153"/>
        <item x="154"/>
        <item x="15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7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dataFields count="1">
    <dataField name="Contagem de No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E966D-1760-4FF5-A362-8B117134640F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1" firstHeaderRow="1" firstDataRow="1" firstDataCol="1"/>
  <pivotFields count="6">
    <pivotField dataField="1" showAll="0"/>
    <pivotField showAll="0"/>
    <pivotField axis="axisRow" showAll="0">
      <items count="48">
        <item x="27"/>
        <item x="6"/>
        <item x="32"/>
        <item x="4"/>
        <item x="38"/>
        <item x="0"/>
        <item x="10"/>
        <item x="15"/>
        <item x="45"/>
        <item x="19"/>
        <item x="17"/>
        <item x="42"/>
        <item x="44"/>
        <item x="36"/>
        <item x="22"/>
        <item x="7"/>
        <item x="34"/>
        <item x="21"/>
        <item x="33"/>
        <item x="8"/>
        <item x="28"/>
        <item x="1"/>
        <item x="29"/>
        <item x="18"/>
        <item x="41"/>
        <item x="25"/>
        <item x="14"/>
        <item x="39"/>
        <item x="23"/>
        <item x="2"/>
        <item x="43"/>
        <item x="20"/>
        <item x="5"/>
        <item x="3"/>
        <item x="26"/>
        <item x="16"/>
        <item x="35"/>
        <item x="9"/>
        <item x="11"/>
        <item x="12"/>
        <item x="13"/>
        <item x="30"/>
        <item x="31"/>
        <item x="24"/>
        <item x="37"/>
        <item x="40"/>
        <item x="46"/>
        <item t="default"/>
      </items>
    </pivotField>
    <pivotField showAll="0"/>
    <pivotField showAll="0"/>
    <pivotField showAll="0"/>
  </pivotFields>
  <rowFields count="1">
    <field x="2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ntagem de No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49FB0-79A8-421A-AF7F-3385AE077A59}" name="Tabela dinâmica5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A3:B30" firstHeaderRow="1" firstDataRow="1" firstDataCol="1"/>
  <pivotFields count="6">
    <pivotField showAll="0"/>
    <pivotField showAll="0"/>
    <pivotField dataField="1" showAll="0">
      <items count="1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8"/>
        <item x="164"/>
        <item x="165"/>
        <item x="166"/>
        <item x="1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3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x="30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ntagem de Data de Leitura" fld="2" subtotal="count" baseField="0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60768-DFB7-4D67-9517-C36C41867427}" name="Tabela2" displayName="Tabela2" ref="A1:F1008" totalsRowShown="0">
  <autoFilter ref="A1:F1008" xr:uid="{ED060768-DFB7-4D67-9517-C36C41867427}"/>
  <tableColumns count="6">
    <tableColumn id="1" xr3:uid="{8555860B-1258-4288-A13F-D1CA8464F243}" name="Nome"/>
    <tableColumn id="2" xr3:uid="{64229F38-3E43-46BF-9F73-DADF5838EF85}" name="Autor"/>
    <tableColumn id="3" xr3:uid="{796F3B3B-A35F-4EFF-9D41-175D8333E9A2}" name="Editora"/>
    <tableColumn id="4" xr3:uid="{27C0073F-5DDC-46D4-85DD-0F210DEBEB9C}" name="ISBN"/>
    <tableColumn id="5" xr3:uid="{A2F022B3-0060-4B21-A4FD-CD63CBDCC6CF}" name="Ano-Compra"/>
    <tableColumn id="6" xr3:uid="{A4D7057C-F84B-47C7-9F53-4CD6FBD02EDB}" name="L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CB2BA-C079-4CBC-B7A8-F4067F5AE47C}" name="Tabela3" displayName="Tabela3" ref="A1:E1000" totalsRowShown="0" headerRowDxfId="0">
  <autoFilter ref="A1:E1000" xr:uid="{740CB2BA-C079-4CBC-B7A8-F4067F5AE47C}"/>
  <tableColumns count="5">
    <tableColumn id="1" xr3:uid="{D18F8AFF-1D9F-4C6E-88FC-02F0BBC31E1E}" name="Nome"/>
    <tableColumn id="2" xr3:uid="{22C84078-8F94-4DAB-87CB-15D4C85A310F}" name="Autor"/>
    <tableColumn id="3" xr3:uid="{D433BC90-3345-49FF-B45F-38EC25C9C465}" name="Data de Leitura"/>
    <tableColumn id="4" xr3:uid="{131A1873-87C7-4DEC-995C-EE0A18CE4749}" name="Status na Estante"/>
    <tableColumn id="5" xr3:uid="{4AF7F2C7-9B18-492A-8778-371F76567C39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.br/s/ref=dp_byline_sr_book_1?ie=UTF8&amp;field-author=Maggie+O%E2%80%99Farrell&amp;text=Maggie+O%E2%80%99Farrell&amp;sort=relevancerank&amp;search-alias=stripbook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4E5A-AB18-49BB-872B-A8D2A9AC6816}">
  <dimension ref="A1:F326"/>
  <sheetViews>
    <sheetView topLeftCell="A152" workbookViewId="0">
      <selection activeCell="F174" sqref="F174"/>
    </sheetView>
  </sheetViews>
  <sheetFormatPr defaultRowHeight="14.4" x14ac:dyDescent="0.3"/>
  <cols>
    <col min="1" max="1" width="58.44140625" customWidth="1"/>
    <col min="2" max="2" width="47.88671875" customWidth="1"/>
    <col min="3" max="3" width="23.77734375" customWidth="1"/>
    <col min="4" max="4" width="29.33203125" customWidth="1"/>
    <col min="5" max="5" width="13.33203125" customWidth="1"/>
    <col min="6" max="6" width="11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1984</v>
      </c>
      <c r="B2" s="2" t="s">
        <v>82</v>
      </c>
      <c r="C2" t="s">
        <v>26</v>
      </c>
      <c r="E2">
        <v>2023</v>
      </c>
      <c r="F2" t="s">
        <v>122</v>
      </c>
    </row>
    <row r="3" spans="1:6" x14ac:dyDescent="0.3">
      <c r="A3" t="s">
        <v>6</v>
      </c>
      <c r="B3" s="2" t="s">
        <v>83</v>
      </c>
      <c r="C3" t="s">
        <v>26</v>
      </c>
      <c r="E3">
        <v>2023</v>
      </c>
      <c r="F3" t="s">
        <v>138</v>
      </c>
    </row>
    <row r="4" spans="1:6" x14ac:dyDescent="0.3">
      <c r="A4" t="s">
        <v>7</v>
      </c>
      <c r="B4" s="2" t="s">
        <v>84</v>
      </c>
      <c r="C4" t="s">
        <v>26</v>
      </c>
      <c r="E4">
        <v>2023</v>
      </c>
      <c r="F4" t="s">
        <v>138</v>
      </c>
    </row>
    <row r="5" spans="1:6" x14ac:dyDescent="0.3">
      <c r="A5" t="s">
        <v>8</v>
      </c>
      <c r="B5" s="2" t="s">
        <v>85</v>
      </c>
      <c r="C5" t="s">
        <v>26</v>
      </c>
      <c r="D5" t="s">
        <v>124</v>
      </c>
      <c r="E5">
        <v>2023</v>
      </c>
      <c r="F5" t="s">
        <v>137</v>
      </c>
    </row>
    <row r="6" spans="1:6" x14ac:dyDescent="0.3">
      <c r="A6" t="s">
        <v>9</v>
      </c>
      <c r="B6" s="2" t="s">
        <v>86</v>
      </c>
      <c r="C6" t="s">
        <v>26</v>
      </c>
      <c r="D6" t="s">
        <v>123</v>
      </c>
      <c r="E6">
        <v>2023</v>
      </c>
      <c r="F6" t="s">
        <v>137</v>
      </c>
    </row>
    <row r="7" spans="1:6" x14ac:dyDescent="0.3">
      <c r="A7" t="s">
        <v>10</v>
      </c>
      <c r="B7" s="2" t="s">
        <v>87</v>
      </c>
      <c r="C7" t="s">
        <v>26</v>
      </c>
      <c r="E7">
        <v>2023</v>
      </c>
      <c r="F7" t="s">
        <v>137</v>
      </c>
    </row>
    <row r="8" spans="1:6" x14ac:dyDescent="0.3">
      <c r="A8" t="s">
        <v>11</v>
      </c>
      <c r="B8" s="2" t="s">
        <v>88</v>
      </c>
      <c r="C8" t="s">
        <v>26</v>
      </c>
      <c r="D8" t="s">
        <v>126</v>
      </c>
      <c r="E8">
        <v>2023</v>
      </c>
      <c r="F8" t="s">
        <v>137</v>
      </c>
    </row>
    <row r="9" spans="1:6" x14ac:dyDescent="0.3">
      <c r="A9" t="s">
        <v>12</v>
      </c>
      <c r="B9" s="2" t="s">
        <v>89</v>
      </c>
      <c r="C9" t="s">
        <v>26</v>
      </c>
      <c r="D9" t="s">
        <v>125</v>
      </c>
      <c r="E9">
        <v>2023</v>
      </c>
      <c r="F9" t="s">
        <v>137</v>
      </c>
    </row>
    <row r="10" spans="1:6" x14ac:dyDescent="0.3">
      <c r="A10" t="s">
        <v>13</v>
      </c>
      <c r="B10" s="2" t="s">
        <v>34</v>
      </c>
      <c r="C10" t="s">
        <v>26</v>
      </c>
      <c r="D10" t="s">
        <v>135</v>
      </c>
      <c r="E10">
        <v>2023</v>
      </c>
      <c r="F10" t="s">
        <v>137</v>
      </c>
    </row>
    <row r="11" spans="1:6" x14ac:dyDescent="0.3">
      <c r="A11" t="s">
        <v>14</v>
      </c>
      <c r="B11" s="2" t="s">
        <v>90</v>
      </c>
      <c r="C11" t="s">
        <v>26</v>
      </c>
      <c r="E11">
        <v>2023</v>
      </c>
      <c r="F11" t="s">
        <v>137</v>
      </c>
    </row>
    <row r="12" spans="1:6" x14ac:dyDescent="0.3">
      <c r="A12" t="s">
        <v>15</v>
      </c>
      <c r="B12" s="2" t="s">
        <v>91</v>
      </c>
      <c r="C12" t="s">
        <v>26</v>
      </c>
      <c r="E12">
        <v>2023</v>
      </c>
      <c r="F12" t="s">
        <v>137</v>
      </c>
    </row>
    <row r="13" spans="1:6" x14ac:dyDescent="0.3">
      <c r="A13" t="s">
        <v>16</v>
      </c>
      <c r="B13" s="2" t="s">
        <v>92</v>
      </c>
      <c r="C13" t="s">
        <v>26</v>
      </c>
      <c r="D13" t="s">
        <v>127</v>
      </c>
      <c r="E13">
        <v>2023</v>
      </c>
      <c r="F13" t="s">
        <v>137</v>
      </c>
    </row>
    <row r="14" spans="1:6" x14ac:dyDescent="0.3">
      <c r="A14" t="s">
        <v>17</v>
      </c>
      <c r="B14" s="2" t="s">
        <v>93</v>
      </c>
      <c r="C14" t="s">
        <v>26</v>
      </c>
      <c r="D14" t="s">
        <v>129</v>
      </c>
      <c r="E14">
        <v>2023</v>
      </c>
      <c r="F14" t="s">
        <v>137</v>
      </c>
    </row>
    <row r="15" spans="1:6" x14ac:dyDescent="0.3">
      <c r="A15" t="s">
        <v>18</v>
      </c>
      <c r="B15" s="2" t="s">
        <v>94</v>
      </c>
      <c r="C15" t="s">
        <v>26</v>
      </c>
      <c r="D15" t="s">
        <v>130</v>
      </c>
      <c r="E15">
        <v>2023</v>
      </c>
      <c r="F15" t="s">
        <v>137</v>
      </c>
    </row>
    <row r="16" spans="1:6" x14ac:dyDescent="0.3">
      <c r="A16" t="s">
        <v>19</v>
      </c>
      <c r="B16" s="2" t="s">
        <v>94</v>
      </c>
      <c r="C16" t="s">
        <v>26</v>
      </c>
      <c r="E16">
        <v>2023</v>
      </c>
      <c r="F16" t="s">
        <v>137</v>
      </c>
    </row>
    <row r="17" spans="1:6" x14ac:dyDescent="0.3">
      <c r="A17" t="s">
        <v>20</v>
      </c>
      <c r="B17" s="2" t="s">
        <v>95</v>
      </c>
      <c r="C17" t="s">
        <v>26</v>
      </c>
      <c r="D17" t="s">
        <v>131</v>
      </c>
      <c r="E17">
        <v>2023</v>
      </c>
      <c r="F17" t="s">
        <v>137</v>
      </c>
    </row>
    <row r="18" spans="1:6" x14ac:dyDescent="0.3">
      <c r="A18" t="s">
        <v>21</v>
      </c>
      <c r="B18" s="2" t="s">
        <v>96</v>
      </c>
      <c r="C18" t="s">
        <v>26</v>
      </c>
      <c r="D18" t="s">
        <v>132</v>
      </c>
      <c r="E18">
        <v>2023</v>
      </c>
      <c r="F18" t="s">
        <v>137</v>
      </c>
    </row>
    <row r="19" spans="1:6" x14ac:dyDescent="0.3">
      <c r="A19" t="s">
        <v>22</v>
      </c>
      <c r="B19" s="2" t="s">
        <v>96</v>
      </c>
      <c r="C19" t="s">
        <v>26</v>
      </c>
      <c r="D19" t="s">
        <v>133</v>
      </c>
      <c r="E19">
        <v>2023</v>
      </c>
      <c r="F19" t="s">
        <v>122</v>
      </c>
    </row>
    <row r="20" spans="1:6" x14ac:dyDescent="0.3">
      <c r="A20" t="s">
        <v>23</v>
      </c>
      <c r="B20" s="2" t="s">
        <v>97</v>
      </c>
      <c r="C20" t="s">
        <v>26</v>
      </c>
      <c r="E20">
        <v>2023</v>
      </c>
      <c r="F20" t="s">
        <v>137</v>
      </c>
    </row>
    <row r="21" spans="1:6" x14ac:dyDescent="0.3">
      <c r="A21" t="s">
        <v>24</v>
      </c>
      <c r="B21" s="2" t="s">
        <v>97</v>
      </c>
      <c r="C21" t="s">
        <v>26</v>
      </c>
      <c r="E21">
        <v>2023</v>
      </c>
      <c r="F21" t="s">
        <v>137</v>
      </c>
    </row>
    <row r="22" spans="1:6" x14ac:dyDescent="0.3">
      <c r="A22" t="s">
        <v>165</v>
      </c>
      <c r="B22" s="2" t="s">
        <v>97</v>
      </c>
      <c r="C22" t="s">
        <v>26</v>
      </c>
      <c r="E22">
        <v>2023</v>
      </c>
      <c r="F22" t="s">
        <v>137</v>
      </c>
    </row>
    <row r="23" spans="1:6" x14ac:dyDescent="0.3">
      <c r="A23" t="s">
        <v>25</v>
      </c>
      <c r="B23" s="2" t="s">
        <v>97</v>
      </c>
      <c r="C23" t="s">
        <v>26</v>
      </c>
      <c r="E23">
        <v>2023</v>
      </c>
      <c r="F23" t="s">
        <v>122</v>
      </c>
    </row>
    <row r="24" spans="1:6" x14ac:dyDescent="0.3">
      <c r="A24" t="s">
        <v>27</v>
      </c>
      <c r="B24" s="2" t="s">
        <v>98</v>
      </c>
      <c r="C24" t="s">
        <v>26</v>
      </c>
      <c r="E24">
        <v>2023</v>
      </c>
      <c r="F24" t="s">
        <v>137</v>
      </c>
    </row>
    <row r="25" spans="1:6" x14ac:dyDescent="0.3">
      <c r="A25" t="s">
        <v>28</v>
      </c>
      <c r="B25" s="2" t="s">
        <v>96</v>
      </c>
      <c r="C25" t="s">
        <v>26</v>
      </c>
      <c r="E25">
        <v>2023</v>
      </c>
      <c r="F25" t="s">
        <v>137</v>
      </c>
    </row>
    <row r="26" spans="1:6" x14ac:dyDescent="0.3">
      <c r="A26" t="s">
        <v>29</v>
      </c>
      <c r="B26" s="2" t="s">
        <v>90</v>
      </c>
      <c r="C26" t="s">
        <v>26</v>
      </c>
      <c r="E26">
        <v>2023</v>
      </c>
      <c r="F26" t="s">
        <v>137</v>
      </c>
    </row>
    <row r="27" spans="1:6" x14ac:dyDescent="0.3">
      <c r="A27" t="s">
        <v>30</v>
      </c>
      <c r="B27" s="2" t="s">
        <v>90</v>
      </c>
      <c r="C27" t="s">
        <v>26</v>
      </c>
      <c r="E27">
        <v>2023</v>
      </c>
      <c r="F27" t="s">
        <v>137</v>
      </c>
    </row>
    <row r="28" spans="1:6" x14ac:dyDescent="0.3">
      <c r="A28" t="s">
        <v>31</v>
      </c>
      <c r="B28" s="2" t="s">
        <v>87</v>
      </c>
      <c r="C28" t="s">
        <v>26</v>
      </c>
      <c r="E28">
        <v>2023</v>
      </c>
      <c r="F28" t="s">
        <v>137</v>
      </c>
    </row>
    <row r="29" spans="1:6" x14ac:dyDescent="0.3">
      <c r="A29" t="s">
        <v>32</v>
      </c>
      <c r="B29" s="2" t="s">
        <v>95</v>
      </c>
      <c r="C29" t="s">
        <v>26</v>
      </c>
      <c r="E29">
        <v>2023</v>
      </c>
      <c r="F29" t="s">
        <v>137</v>
      </c>
    </row>
    <row r="30" spans="1:6" x14ac:dyDescent="0.3">
      <c r="A30" t="s">
        <v>33</v>
      </c>
      <c r="B30" s="2" t="s">
        <v>82</v>
      </c>
      <c r="C30" t="s">
        <v>26</v>
      </c>
      <c r="E30">
        <v>2023</v>
      </c>
      <c r="F30" t="s">
        <v>122</v>
      </c>
    </row>
    <row r="31" spans="1:6" x14ac:dyDescent="0.3">
      <c r="A31" t="s">
        <v>34</v>
      </c>
      <c r="B31" s="2" t="s">
        <v>99</v>
      </c>
      <c r="C31" t="s">
        <v>26</v>
      </c>
      <c r="D31" t="s">
        <v>134</v>
      </c>
      <c r="E31">
        <v>2023</v>
      </c>
      <c r="F31" t="s">
        <v>137</v>
      </c>
    </row>
    <row r="32" spans="1:6" x14ac:dyDescent="0.3">
      <c r="A32" t="s">
        <v>35</v>
      </c>
      <c r="B32" s="2" t="s">
        <v>92</v>
      </c>
      <c r="C32" t="s">
        <v>26</v>
      </c>
      <c r="D32" t="s">
        <v>128</v>
      </c>
      <c r="E32">
        <v>2023</v>
      </c>
      <c r="F32" t="s">
        <v>137</v>
      </c>
    </row>
    <row r="33" spans="1:6" x14ac:dyDescent="0.3">
      <c r="A33" t="s">
        <v>36</v>
      </c>
      <c r="B33" s="2" t="s">
        <v>84</v>
      </c>
      <c r="C33" t="s">
        <v>26</v>
      </c>
      <c r="E33">
        <v>2023</v>
      </c>
      <c r="F33" t="s">
        <v>137</v>
      </c>
    </row>
    <row r="34" spans="1:6" x14ac:dyDescent="0.3">
      <c r="A34" t="s">
        <v>37</v>
      </c>
      <c r="B34" s="2" t="s">
        <v>93</v>
      </c>
      <c r="C34" t="s">
        <v>26</v>
      </c>
      <c r="E34">
        <v>2023</v>
      </c>
      <c r="F34" t="s">
        <v>137</v>
      </c>
    </row>
    <row r="35" spans="1:6" x14ac:dyDescent="0.3">
      <c r="A35" t="s">
        <v>38</v>
      </c>
      <c r="B35" s="2" t="s">
        <v>100</v>
      </c>
      <c r="C35" t="s">
        <v>26</v>
      </c>
      <c r="D35" t="s">
        <v>136</v>
      </c>
      <c r="E35">
        <v>2023</v>
      </c>
      <c r="F35" t="s">
        <v>137</v>
      </c>
    </row>
    <row r="36" spans="1:6" x14ac:dyDescent="0.3">
      <c r="A36" t="s">
        <v>39</v>
      </c>
      <c r="B36" s="2" t="s">
        <v>86</v>
      </c>
      <c r="C36" t="s">
        <v>26</v>
      </c>
      <c r="E36">
        <v>2023</v>
      </c>
      <c r="F36" t="s">
        <v>137</v>
      </c>
    </row>
    <row r="37" spans="1:6" x14ac:dyDescent="0.3">
      <c r="A37" t="s">
        <v>40</v>
      </c>
      <c r="B37" s="2" t="s">
        <v>94</v>
      </c>
      <c r="C37" t="s">
        <v>26</v>
      </c>
      <c r="E37">
        <v>2023</v>
      </c>
      <c r="F37" t="s">
        <v>137</v>
      </c>
    </row>
    <row r="38" spans="1:6" x14ac:dyDescent="0.3">
      <c r="A38" t="s">
        <v>41</v>
      </c>
      <c r="B38" s="2" t="s">
        <v>83</v>
      </c>
      <c r="C38" t="s">
        <v>26</v>
      </c>
      <c r="E38">
        <v>2023</v>
      </c>
      <c r="F38" t="s">
        <v>137</v>
      </c>
    </row>
    <row r="39" spans="1:6" x14ac:dyDescent="0.3">
      <c r="A39" t="s">
        <v>42</v>
      </c>
      <c r="B39" s="2" t="s">
        <v>101</v>
      </c>
      <c r="C39" t="s">
        <v>43</v>
      </c>
      <c r="F39" t="s">
        <v>122</v>
      </c>
    </row>
    <row r="40" spans="1:6" x14ac:dyDescent="0.3">
      <c r="A40" t="s">
        <v>44</v>
      </c>
      <c r="B40" s="2" t="s">
        <v>102</v>
      </c>
      <c r="C40" t="s">
        <v>71</v>
      </c>
      <c r="F40" t="s">
        <v>137</v>
      </c>
    </row>
    <row r="41" spans="1:6" x14ac:dyDescent="0.3">
      <c r="A41" t="s">
        <v>72</v>
      </c>
      <c r="B41" s="2" t="s">
        <v>103</v>
      </c>
      <c r="C41" t="s">
        <v>73</v>
      </c>
      <c r="F41" t="s">
        <v>137</v>
      </c>
    </row>
    <row r="42" spans="1:6" x14ac:dyDescent="0.3">
      <c r="A42" t="s">
        <v>45</v>
      </c>
      <c r="B42" s="2" t="s">
        <v>104</v>
      </c>
      <c r="C42" t="s">
        <v>74</v>
      </c>
      <c r="F42" t="s">
        <v>122</v>
      </c>
    </row>
    <row r="43" spans="1:6" x14ac:dyDescent="0.3">
      <c r="A43" t="s">
        <v>46</v>
      </c>
      <c r="B43" s="2" t="s">
        <v>105</v>
      </c>
      <c r="C43" t="s">
        <v>75</v>
      </c>
      <c r="F43" t="s">
        <v>137</v>
      </c>
    </row>
    <row r="44" spans="1:6" x14ac:dyDescent="0.3">
      <c r="A44" t="s">
        <v>47</v>
      </c>
      <c r="B44" s="2" t="s">
        <v>105</v>
      </c>
      <c r="C44" t="s">
        <v>75</v>
      </c>
      <c r="F44" t="s">
        <v>137</v>
      </c>
    </row>
    <row r="45" spans="1:6" x14ac:dyDescent="0.3">
      <c r="A45" t="s">
        <v>48</v>
      </c>
      <c r="B45" s="2" t="s">
        <v>106</v>
      </c>
      <c r="C45" t="s">
        <v>76</v>
      </c>
      <c r="F45" t="s">
        <v>122</v>
      </c>
    </row>
    <row r="46" spans="1:6" x14ac:dyDescent="0.3">
      <c r="A46" t="s">
        <v>49</v>
      </c>
      <c r="B46" s="2" t="s">
        <v>107</v>
      </c>
      <c r="C46" t="s">
        <v>78</v>
      </c>
      <c r="F46" t="s">
        <v>137</v>
      </c>
    </row>
    <row r="47" spans="1:6" x14ac:dyDescent="0.3">
      <c r="A47" t="s">
        <v>50</v>
      </c>
      <c r="B47" s="2" t="s">
        <v>108</v>
      </c>
      <c r="C47" t="s">
        <v>51</v>
      </c>
      <c r="F47" t="s">
        <v>137</v>
      </c>
    </row>
    <row r="48" spans="1:6" x14ac:dyDescent="0.3">
      <c r="A48" t="s">
        <v>52</v>
      </c>
      <c r="B48" s="2" t="s">
        <v>109</v>
      </c>
      <c r="C48" t="s">
        <v>53</v>
      </c>
      <c r="F48" t="s">
        <v>122</v>
      </c>
    </row>
    <row r="49" spans="1:6" x14ac:dyDescent="0.3">
      <c r="A49" t="s">
        <v>54</v>
      </c>
      <c r="B49" s="2" t="s">
        <v>110</v>
      </c>
      <c r="C49" t="s">
        <v>55</v>
      </c>
      <c r="F49" t="s">
        <v>137</v>
      </c>
    </row>
    <row r="50" spans="1:6" x14ac:dyDescent="0.3">
      <c r="A50" t="s">
        <v>59</v>
      </c>
      <c r="B50" s="2" t="s">
        <v>111</v>
      </c>
      <c r="C50" t="s">
        <v>56</v>
      </c>
      <c r="F50" t="s">
        <v>137</v>
      </c>
    </row>
    <row r="51" spans="1:6" x14ac:dyDescent="0.3">
      <c r="A51" t="s">
        <v>164</v>
      </c>
      <c r="B51" s="2" t="s">
        <v>97</v>
      </c>
      <c r="C51" t="s">
        <v>57</v>
      </c>
      <c r="F51" t="s">
        <v>138</v>
      </c>
    </row>
    <row r="52" spans="1:6" x14ac:dyDescent="0.3">
      <c r="A52" t="s">
        <v>58</v>
      </c>
      <c r="B52" s="2" t="s">
        <v>112</v>
      </c>
      <c r="C52" t="s">
        <v>60</v>
      </c>
      <c r="F52" t="s">
        <v>137</v>
      </c>
    </row>
    <row r="53" spans="1:6" x14ac:dyDescent="0.3">
      <c r="A53" t="s">
        <v>61</v>
      </c>
      <c r="B53" s="2" t="s">
        <v>113</v>
      </c>
      <c r="C53" t="s">
        <v>77</v>
      </c>
      <c r="F53" t="s">
        <v>122</v>
      </c>
    </row>
    <row r="54" spans="1:6" x14ac:dyDescent="0.3">
      <c r="A54" t="s">
        <v>62</v>
      </c>
      <c r="B54" s="2" t="s">
        <v>114</v>
      </c>
      <c r="C54" t="s">
        <v>57</v>
      </c>
      <c r="F54" t="s">
        <v>137</v>
      </c>
    </row>
    <row r="55" spans="1:6" x14ac:dyDescent="0.3">
      <c r="A55" t="s">
        <v>63</v>
      </c>
      <c r="B55" s="2" t="s">
        <v>115</v>
      </c>
      <c r="C55" t="s">
        <v>64</v>
      </c>
      <c r="F55" t="s">
        <v>137</v>
      </c>
    </row>
    <row r="56" spans="1:6" x14ac:dyDescent="0.3">
      <c r="A56" t="s">
        <v>65</v>
      </c>
      <c r="B56" s="2" t="s">
        <v>116</v>
      </c>
      <c r="C56" t="s">
        <v>75</v>
      </c>
      <c r="F56" t="s">
        <v>122</v>
      </c>
    </row>
    <row r="57" spans="1:6" x14ac:dyDescent="0.3">
      <c r="A57" t="s">
        <v>66</v>
      </c>
      <c r="B57" s="2" t="s">
        <v>116</v>
      </c>
      <c r="C57" t="s">
        <v>79</v>
      </c>
      <c r="F57" t="s">
        <v>122</v>
      </c>
    </row>
    <row r="58" spans="1:6" x14ac:dyDescent="0.3">
      <c r="A58" t="s">
        <v>67</v>
      </c>
      <c r="B58" s="2" t="s">
        <v>117</v>
      </c>
      <c r="C58" t="s">
        <v>81</v>
      </c>
      <c r="F58" t="s">
        <v>137</v>
      </c>
    </row>
    <row r="59" spans="1:6" x14ac:dyDescent="0.3">
      <c r="A59" t="s">
        <v>68</v>
      </c>
      <c r="B59" s="2" t="s">
        <v>118</v>
      </c>
      <c r="C59" t="s">
        <v>121</v>
      </c>
      <c r="E59">
        <v>2020</v>
      </c>
      <c r="F59" t="s">
        <v>137</v>
      </c>
    </row>
    <row r="60" spans="1:6" x14ac:dyDescent="0.3">
      <c r="A60" t="s">
        <v>69</v>
      </c>
      <c r="B60" s="2" t="s">
        <v>119</v>
      </c>
      <c r="C60" t="s">
        <v>56</v>
      </c>
      <c r="F60" t="s">
        <v>137</v>
      </c>
    </row>
    <row r="61" spans="1:6" x14ac:dyDescent="0.3">
      <c r="A61" t="s">
        <v>70</v>
      </c>
      <c r="B61" s="2" t="s">
        <v>96</v>
      </c>
      <c r="C61" t="s">
        <v>56</v>
      </c>
      <c r="F61" t="s">
        <v>137</v>
      </c>
    </row>
    <row r="62" spans="1:6" x14ac:dyDescent="0.3">
      <c r="A62" t="s">
        <v>80</v>
      </c>
      <c r="B62" s="2" t="s">
        <v>120</v>
      </c>
      <c r="C62" t="s">
        <v>81</v>
      </c>
      <c r="D62" t="s">
        <v>271</v>
      </c>
      <c r="F62" t="s">
        <v>122</v>
      </c>
    </row>
    <row r="63" spans="1:6" x14ac:dyDescent="0.3">
      <c r="A63" t="s">
        <v>163</v>
      </c>
      <c r="B63" s="3" t="s">
        <v>228</v>
      </c>
      <c r="C63" t="s">
        <v>141</v>
      </c>
      <c r="F63" t="s">
        <v>122</v>
      </c>
    </row>
    <row r="64" spans="1:6" x14ac:dyDescent="0.3">
      <c r="A64" t="s">
        <v>139</v>
      </c>
      <c r="B64" s="3" t="s">
        <v>228</v>
      </c>
      <c r="C64" t="s">
        <v>141</v>
      </c>
      <c r="F64" t="s">
        <v>137</v>
      </c>
    </row>
    <row r="65" spans="1:6" x14ac:dyDescent="0.3">
      <c r="A65" t="s">
        <v>140</v>
      </c>
      <c r="B65" s="3" t="s">
        <v>228</v>
      </c>
      <c r="C65" t="s">
        <v>141</v>
      </c>
      <c r="F65" t="s">
        <v>137</v>
      </c>
    </row>
    <row r="66" spans="1:6" x14ac:dyDescent="0.3">
      <c r="A66" s="4" t="s">
        <v>166</v>
      </c>
      <c r="B66" s="3" t="s">
        <v>229</v>
      </c>
      <c r="C66" t="s">
        <v>141</v>
      </c>
      <c r="F66" t="s">
        <v>137</v>
      </c>
    </row>
    <row r="67" spans="1:6" x14ac:dyDescent="0.3">
      <c r="A67" t="s">
        <v>142</v>
      </c>
      <c r="B67" s="3" t="s">
        <v>230</v>
      </c>
      <c r="C67" t="s">
        <v>141</v>
      </c>
      <c r="F67" t="s">
        <v>122</v>
      </c>
    </row>
    <row r="68" spans="1:6" x14ac:dyDescent="0.3">
      <c r="A68" t="s">
        <v>143</v>
      </c>
      <c r="B68" s="3" t="s">
        <v>231</v>
      </c>
      <c r="C68" t="s">
        <v>141</v>
      </c>
      <c r="F68" t="s">
        <v>122</v>
      </c>
    </row>
    <row r="69" spans="1:6" x14ac:dyDescent="0.3">
      <c r="A69" t="s">
        <v>144</v>
      </c>
      <c r="B69" s="3" t="s">
        <v>232</v>
      </c>
      <c r="C69" t="s">
        <v>141</v>
      </c>
      <c r="F69" t="s">
        <v>122</v>
      </c>
    </row>
    <row r="70" spans="1:6" x14ac:dyDescent="0.3">
      <c r="A70" t="s">
        <v>145</v>
      </c>
      <c r="B70" s="3" t="s">
        <v>233</v>
      </c>
      <c r="C70" t="s">
        <v>146</v>
      </c>
      <c r="F70" t="s">
        <v>137</v>
      </c>
    </row>
    <row r="71" spans="1:6" x14ac:dyDescent="0.3">
      <c r="A71" t="s">
        <v>147</v>
      </c>
      <c r="B71" s="3" t="s">
        <v>234</v>
      </c>
      <c r="C71" t="s">
        <v>146</v>
      </c>
      <c r="F71" t="s">
        <v>137</v>
      </c>
    </row>
    <row r="72" spans="1:6" x14ac:dyDescent="0.3">
      <c r="A72" t="s">
        <v>148</v>
      </c>
      <c r="B72" s="3" t="s">
        <v>235</v>
      </c>
      <c r="C72" t="s">
        <v>51</v>
      </c>
      <c r="F72" t="s">
        <v>122</v>
      </c>
    </row>
    <row r="73" spans="1:6" x14ac:dyDescent="0.3">
      <c r="A73" t="s">
        <v>149</v>
      </c>
      <c r="B73" s="3" t="s">
        <v>236</v>
      </c>
      <c r="C73" t="s">
        <v>57</v>
      </c>
      <c r="F73" t="s">
        <v>137</v>
      </c>
    </row>
    <row r="74" spans="1:6" x14ac:dyDescent="0.3">
      <c r="A74" t="s">
        <v>150</v>
      </c>
      <c r="B74" s="3" t="s">
        <v>237</v>
      </c>
      <c r="C74" t="s">
        <v>57</v>
      </c>
      <c r="F74" t="s">
        <v>137</v>
      </c>
    </row>
    <row r="75" spans="1:6" x14ac:dyDescent="0.3">
      <c r="A75" t="s">
        <v>151</v>
      </c>
      <c r="B75" s="3" t="s">
        <v>238</v>
      </c>
      <c r="C75" t="s">
        <v>161</v>
      </c>
      <c r="F75" t="s">
        <v>138</v>
      </c>
    </row>
    <row r="76" spans="1:6" x14ac:dyDescent="0.3">
      <c r="A76" t="s">
        <v>152</v>
      </c>
      <c r="B76" s="3" t="s">
        <v>239</v>
      </c>
      <c r="C76" t="s">
        <v>57</v>
      </c>
      <c r="F76" t="s">
        <v>122</v>
      </c>
    </row>
    <row r="77" spans="1:6" x14ac:dyDescent="0.3">
      <c r="A77" t="s">
        <v>162</v>
      </c>
      <c r="B77" s="3" t="s">
        <v>240</v>
      </c>
      <c r="C77" t="s">
        <v>159</v>
      </c>
      <c r="F77" t="s">
        <v>122</v>
      </c>
    </row>
    <row r="78" spans="1:6" x14ac:dyDescent="0.3">
      <c r="A78" t="s">
        <v>153</v>
      </c>
      <c r="B78" s="3" t="s">
        <v>240</v>
      </c>
      <c r="C78" t="s">
        <v>159</v>
      </c>
      <c r="F78" t="s">
        <v>138</v>
      </c>
    </row>
    <row r="79" spans="1:6" x14ac:dyDescent="0.3">
      <c r="A79" t="s">
        <v>154</v>
      </c>
      <c r="B79" s="3" t="s">
        <v>240</v>
      </c>
      <c r="C79" t="s">
        <v>159</v>
      </c>
      <c r="F79" t="s">
        <v>137</v>
      </c>
    </row>
    <row r="80" spans="1:6" x14ac:dyDescent="0.3">
      <c r="A80" t="s">
        <v>155</v>
      </c>
      <c r="B80" s="3" t="s">
        <v>240</v>
      </c>
      <c r="C80" t="s">
        <v>159</v>
      </c>
      <c r="F80" t="s">
        <v>137</v>
      </c>
    </row>
    <row r="81" spans="1:6" x14ac:dyDescent="0.3">
      <c r="A81" t="s">
        <v>156</v>
      </c>
      <c r="B81" s="3" t="s">
        <v>240</v>
      </c>
      <c r="C81" t="s">
        <v>160</v>
      </c>
      <c r="E81">
        <v>2015</v>
      </c>
      <c r="F81" t="s">
        <v>122</v>
      </c>
    </row>
    <row r="82" spans="1:6" x14ac:dyDescent="0.3">
      <c r="A82" t="s">
        <v>157</v>
      </c>
      <c r="B82" s="3" t="s">
        <v>240</v>
      </c>
      <c r="C82" t="s">
        <v>160</v>
      </c>
      <c r="E82">
        <v>2015</v>
      </c>
      <c r="F82" t="s">
        <v>137</v>
      </c>
    </row>
    <row r="83" spans="1:6" x14ac:dyDescent="0.3">
      <c r="A83" t="s">
        <v>167</v>
      </c>
      <c r="B83" s="3" t="s">
        <v>229</v>
      </c>
      <c r="C83" t="s">
        <v>56</v>
      </c>
      <c r="F83" t="s">
        <v>122</v>
      </c>
    </row>
    <row r="84" spans="1:6" x14ac:dyDescent="0.3">
      <c r="A84" t="s">
        <v>158</v>
      </c>
      <c r="B84" s="3" t="s">
        <v>241</v>
      </c>
      <c r="C84" t="s">
        <v>141</v>
      </c>
      <c r="F84" t="s">
        <v>122</v>
      </c>
    </row>
    <row r="85" spans="1:6" x14ac:dyDescent="0.3">
      <c r="A85" t="s">
        <v>168</v>
      </c>
      <c r="B85" s="3" t="s">
        <v>242</v>
      </c>
      <c r="C85" t="s">
        <v>169</v>
      </c>
      <c r="E85">
        <v>2019</v>
      </c>
      <c r="F85" t="s">
        <v>122</v>
      </c>
    </row>
    <row r="86" spans="1:6" x14ac:dyDescent="0.3">
      <c r="A86" t="s">
        <v>170</v>
      </c>
      <c r="B86" s="3" t="s">
        <v>243</v>
      </c>
      <c r="C86" t="s">
        <v>169</v>
      </c>
      <c r="E86">
        <v>2026</v>
      </c>
      <c r="F86" t="s">
        <v>137</v>
      </c>
    </row>
    <row r="87" spans="1:6" x14ac:dyDescent="0.3">
      <c r="A87" t="s">
        <v>171</v>
      </c>
      <c r="B87" s="3" t="s">
        <v>244</v>
      </c>
      <c r="C87" t="s">
        <v>169</v>
      </c>
      <c r="F87" t="s">
        <v>137</v>
      </c>
    </row>
    <row r="88" spans="1:6" x14ac:dyDescent="0.3">
      <c r="A88" t="s">
        <v>172</v>
      </c>
      <c r="B88" s="3" t="s">
        <v>93</v>
      </c>
      <c r="C88" t="s">
        <v>169</v>
      </c>
      <c r="F88" t="s">
        <v>137</v>
      </c>
    </row>
    <row r="89" spans="1:6" x14ac:dyDescent="0.3">
      <c r="A89" t="s">
        <v>173</v>
      </c>
      <c r="B89" s="3" t="s">
        <v>242</v>
      </c>
      <c r="C89" t="s">
        <v>175</v>
      </c>
      <c r="E89">
        <v>2026</v>
      </c>
      <c r="F89" t="s">
        <v>137</v>
      </c>
    </row>
    <row r="90" spans="1:6" x14ac:dyDescent="0.3">
      <c r="A90" t="s">
        <v>174</v>
      </c>
      <c r="B90" s="3" t="s">
        <v>244</v>
      </c>
      <c r="C90" t="s">
        <v>175</v>
      </c>
      <c r="E90">
        <v>2026</v>
      </c>
      <c r="F90" t="s">
        <v>137</v>
      </c>
    </row>
    <row r="91" spans="1:6" x14ac:dyDescent="0.3">
      <c r="A91" t="s">
        <v>176</v>
      </c>
      <c r="B91" s="3" t="s">
        <v>93</v>
      </c>
      <c r="C91" t="s">
        <v>175</v>
      </c>
      <c r="E91">
        <v>2026</v>
      </c>
      <c r="F91" t="s">
        <v>137</v>
      </c>
    </row>
    <row r="92" spans="1:6" x14ac:dyDescent="0.3">
      <c r="A92" t="s">
        <v>177</v>
      </c>
      <c r="B92" s="3" t="s">
        <v>245</v>
      </c>
      <c r="C92" t="s">
        <v>175</v>
      </c>
      <c r="E92">
        <v>2026</v>
      </c>
      <c r="F92" t="s">
        <v>137</v>
      </c>
    </row>
    <row r="93" spans="1:6" x14ac:dyDescent="0.3">
      <c r="A93" t="s">
        <v>178</v>
      </c>
      <c r="B93" s="3" t="s">
        <v>246</v>
      </c>
      <c r="C93" t="s">
        <v>175</v>
      </c>
      <c r="E93">
        <v>2026</v>
      </c>
      <c r="F93" t="s">
        <v>122</v>
      </c>
    </row>
    <row r="94" spans="1:6" x14ac:dyDescent="0.3">
      <c r="A94" t="s">
        <v>179</v>
      </c>
      <c r="B94" s="3" t="s">
        <v>247</v>
      </c>
      <c r="C94" t="s">
        <v>175</v>
      </c>
      <c r="E94">
        <v>2026</v>
      </c>
      <c r="F94" t="s">
        <v>137</v>
      </c>
    </row>
    <row r="95" spans="1:6" x14ac:dyDescent="0.3">
      <c r="A95" t="s">
        <v>180</v>
      </c>
      <c r="B95" s="3" t="s">
        <v>248</v>
      </c>
      <c r="C95" t="s">
        <v>57</v>
      </c>
      <c r="E95">
        <v>2026</v>
      </c>
      <c r="F95" t="s">
        <v>137</v>
      </c>
    </row>
    <row r="96" spans="1:6" x14ac:dyDescent="0.3">
      <c r="A96" t="s">
        <v>181</v>
      </c>
      <c r="B96" s="3" t="s">
        <v>99</v>
      </c>
      <c r="C96" t="s">
        <v>183</v>
      </c>
      <c r="E96">
        <v>2025</v>
      </c>
      <c r="F96" t="s">
        <v>137</v>
      </c>
    </row>
    <row r="97" spans="1:6" x14ac:dyDescent="0.3">
      <c r="A97" t="s">
        <v>182</v>
      </c>
      <c r="B97" s="3" t="s">
        <v>89</v>
      </c>
      <c r="C97" t="s">
        <v>183</v>
      </c>
      <c r="E97">
        <v>2025</v>
      </c>
      <c r="F97" t="s">
        <v>122</v>
      </c>
    </row>
    <row r="98" spans="1:6" x14ac:dyDescent="0.3">
      <c r="A98" t="s">
        <v>184</v>
      </c>
      <c r="B98" s="3" t="s">
        <v>249</v>
      </c>
      <c r="C98" t="s">
        <v>183</v>
      </c>
      <c r="E98">
        <v>2026</v>
      </c>
      <c r="F98" t="s">
        <v>137</v>
      </c>
    </row>
    <row r="99" spans="1:6" x14ac:dyDescent="0.3">
      <c r="A99" t="s">
        <v>185</v>
      </c>
      <c r="B99" s="3" t="s">
        <v>249</v>
      </c>
      <c r="C99" t="s">
        <v>183</v>
      </c>
      <c r="E99">
        <v>2026</v>
      </c>
      <c r="F99" t="s">
        <v>137</v>
      </c>
    </row>
    <row r="100" spans="1:6" x14ac:dyDescent="0.3">
      <c r="A100" t="s">
        <v>186</v>
      </c>
      <c r="B100" s="3" t="s">
        <v>246</v>
      </c>
      <c r="C100" t="s">
        <v>73</v>
      </c>
      <c r="F100" t="s">
        <v>137</v>
      </c>
    </row>
    <row r="101" spans="1:6" x14ac:dyDescent="0.3">
      <c r="A101" t="s">
        <v>187</v>
      </c>
      <c r="B101" s="3" t="s">
        <v>100</v>
      </c>
      <c r="C101" t="s">
        <v>73</v>
      </c>
      <c r="F101" t="s">
        <v>122</v>
      </c>
    </row>
    <row r="102" spans="1:6" x14ac:dyDescent="0.3">
      <c r="A102" t="s">
        <v>188</v>
      </c>
      <c r="B102" s="3" t="s">
        <v>250</v>
      </c>
      <c r="C102" t="s">
        <v>56</v>
      </c>
      <c r="E102">
        <v>2023</v>
      </c>
      <c r="F102" t="s">
        <v>137</v>
      </c>
    </row>
    <row r="103" spans="1:6" x14ac:dyDescent="0.3">
      <c r="A103" t="s">
        <v>189</v>
      </c>
      <c r="B103" s="3" t="s">
        <v>250</v>
      </c>
      <c r="C103" t="s">
        <v>56</v>
      </c>
      <c r="E103">
        <v>2023</v>
      </c>
      <c r="F103" t="s">
        <v>137</v>
      </c>
    </row>
    <row r="104" spans="1:6" x14ac:dyDescent="0.3">
      <c r="A104" t="s">
        <v>190</v>
      </c>
      <c r="B104" s="3" t="s">
        <v>250</v>
      </c>
      <c r="C104" t="s">
        <v>56</v>
      </c>
      <c r="E104">
        <v>2023</v>
      </c>
      <c r="F104" t="s">
        <v>137</v>
      </c>
    </row>
    <row r="105" spans="1:6" x14ac:dyDescent="0.3">
      <c r="A105" t="s">
        <v>191</v>
      </c>
      <c r="B105" s="3" t="s">
        <v>251</v>
      </c>
      <c r="C105" t="s">
        <v>64</v>
      </c>
      <c r="F105" t="s">
        <v>137</v>
      </c>
    </row>
    <row r="106" spans="1:6" x14ac:dyDescent="0.3">
      <c r="A106" t="s">
        <v>192</v>
      </c>
      <c r="B106" s="3" t="s">
        <v>252</v>
      </c>
      <c r="C106" t="s">
        <v>197</v>
      </c>
      <c r="F106" t="s">
        <v>137</v>
      </c>
    </row>
    <row r="107" spans="1:6" x14ac:dyDescent="0.3">
      <c r="A107" t="s">
        <v>193</v>
      </c>
      <c r="B107" s="3" t="s">
        <v>253</v>
      </c>
      <c r="C107" t="s">
        <v>74</v>
      </c>
      <c r="E107">
        <v>2025</v>
      </c>
      <c r="F107" t="s">
        <v>122</v>
      </c>
    </row>
    <row r="108" spans="1:6" x14ac:dyDescent="0.3">
      <c r="A108" t="s">
        <v>194</v>
      </c>
      <c r="B108" s="3" t="s">
        <v>254</v>
      </c>
      <c r="C108" t="s">
        <v>198</v>
      </c>
      <c r="F108" t="s">
        <v>122</v>
      </c>
    </row>
    <row r="109" spans="1:6" x14ac:dyDescent="0.3">
      <c r="A109" t="s">
        <v>195</v>
      </c>
      <c r="B109" s="3" t="s">
        <v>255</v>
      </c>
      <c r="C109" t="s">
        <v>199</v>
      </c>
      <c r="E109">
        <v>2023</v>
      </c>
      <c r="F109" t="s">
        <v>137</v>
      </c>
    </row>
    <row r="110" spans="1:6" x14ac:dyDescent="0.3">
      <c r="A110" t="s">
        <v>196</v>
      </c>
      <c r="B110" s="3" t="s">
        <v>256</v>
      </c>
      <c r="C110" t="s">
        <v>200</v>
      </c>
      <c r="F110" t="s">
        <v>137</v>
      </c>
    </row>
    <row r="111" spans="1:6" x14ac:dyDescent="0.3">
      <c r="A111" t="s">
        <v>202</v>
      </c>
      <c r="B111" s="3" t="s">
        <v>257</v>
      </c>
      <c r="C111" t="s">
        <v>51</v>
      </c>
      <c r="E111">
        <v>2018</v>
      </c>
      <c r="F111" t="s">
        <v>122</v>
      </c>
    </row>
    <row r="112" spans="1:6" x14ac:dyDescent="0.3">
      <c r="A112" t="s">
        <v>203</v>
      </c>
      <c r="B112" s="3" t="s">
        <v>257</v>
      </c>
      <c r="C112" t="s">
        <v>51</v>
      </c>
      <c r="E112">
        <v>2018</v>
      </c>
      <c r="F112" t="s">
        <v>122</v>
      </c>
    </row>
    <row r="113" spans="1:6" x14ac:dyDescent="0.3">
      <c r="A113" t="s">
        <v>204</v>
      </c>
      <c r="B113" s="3" t="s">
        <v>257</v>
      </c>
      <c r="C113" t="s">
        <v>51</v>
      </c>
      <c r="E113">
        <v>2018</v>
      </c>
      <c r="F113" t="s">
        <v>122</v>
      </c>
    </row>
    <row r="114" spans="1:6" x14ac:dyDescent="0.3">
      <c r="A114" t="s">
        <v>205</v>
      </c>
      <c r="B114" s="3" t="s">
        <v>257</v>
      </c>
      <c r="C114" t="s">
        <v>51</v>
      </c>
      <c r="E114">
        <v>2018</v>
      </c>
      <c r="F114" t="s">
        <v>122</v>
      </c>
    </row>
    <row r="115" spans="1:6" x14ac:dyDescent="0.3">
      <c r="A115" t="s">
        <v>201</v>
      </c>
      <c r="B115" s="3" t="s">
        <v>257</v>
      </c>
      <c r="C115" t="s">
        <v>51</v>
      </c>
      <c r="E115">
        <v>2018</v>
      </c>
      <c r="F115" t="s">
        <v>122</v>
      </c>
    </row>
    <row r="116" spans="1:6" x14ac:dyDescent="0.3">
      <c r="A116" t="s">
        <v>206</v>
      </c>
      <c r="B116" s="3" t="s">
        <v>257</v>
      </c>
      <c r="C116" t="s">
        <v>51</v>
      </c>
      <c r="E116">
        <v>2018</v>
      </c>
      <c r="F116" t="s">
        <v>122</v>
      </c>
    </row>
    <row r="117" spans="1:6" x14ac:dyDescent="0.3">
      <c r="A117" t="s">
        <v>208</v>
      </c>
      <c r="B117" s="3" t="s">
        <v>257</v>
      </c>
      <c r="C117" t="s">
        <v>51</v>
      </c>
      <c r="E117">
        <v>2018</v>
      </c>
      <c r="F117" t="s">
        <v>122</v>
      </c>
    </row>
    <row r="118" spans="1:6" x14ac:dyDescent="0.3">
      <c r="A118" t="s">
        <v>207</v>
      </c>
      <c r="B118" s="3" t="s">
        <v>257</v>
      </c>
      <c r="C118" t="s">
        <v>51</v>
      </c>
      <c r="E118">
        <v>2018</v>
      </c>
      <c r="F118" t="s">
        <v>122</v>
      </c>
    </row>
    <row r="119" spans="1:6" x14ac:dyDescent="0.3">
      <c r="A119" t="s">
        <v>209</v>
      </c>
      <c r="B119" s="3" t="s">
        <v>257</v>
      </c>
      <c r="C119" t="s">
        <v>51</v>
      </c>
      <c r="E119">
        <v>2018</v>
      </c>
      <c r="F119" t="s">
        <v>122</v>
      </c>
    </row>
    <row r="120" spans="1:6" x14ac:dyDescent="0.3">
      <c r="A120" t="s">
        <v>210</v>
      </c>
      <c r="B120" s="3" t="s">
        <v>257</v>
      </c>
      <c r="C120" t="s">
        <v>51</v>
      </c>
      <c r="E120">
        <v>2018</v>
      </c>
      <c r="F120" t="s">
        <v>122</v>
      </c>
    </row>
    <row r="121" spans="1:6" x14ac:dyDescent="0.3">
      <c r="A121" t="s">
        <v>437</v>
      </c>
      <c r="B121" s="3" t="s">
        <v>258</v>
      </c>
      <c r="C121" t="s">
        <v>216</v>
      </c>
      <c r="E121">
        <v>2020</v>
      </c>
      <c r="F121" t="s">
        <v>122</v>
      </c>
    </row>
    <row r="122" spans="1:6" x14ac:dyDescent="0.3">
      <c r="A122" t="s">
        <v>438</v>
      </c>
      <c r="B122" s="3" t="s">
        <v>258</v>
      </c>
      <c r="C122" t="s">
        <v>216</v>
      </c>
      <c r="E122">
        <v>2020</v>
      </c>
      <c r="F122" t="s">
        <v>122</v>
      </c>
    </row>
    <row r="123" spans="1:6" x14ac:dyDescent="0.3">
      <c r="A123" t="s">
        <v>211</v>
      </c>
      <c r="B123" s="3" t="s">
        <v>259</v>
      </c>
      <c r="C123" t="s">
        <v>215</v>
      </c>
      <c r="E123">
        <v>2023</v>
      </c>
      <c r="F123" t="s">
        <v>953</v>
      </c>
    </row>
    <row r="124" spans="1:6" x14ac:dyDescent="0.3">
      <c r="A124" t="s">
        <v>212</v>
      </c>
      <c r="B124" s="3" t="s">
        <v>259</v>
      </c>
      <c r="C124" t="s">
        <v>215</v>
      </c>
      <c r="E124">
        <v>2023</v>
      </c>
      <c r="F124" t="s">
        <v>137</v>
      </c>
    </row>
    <row r="125" spans="1:6" x14ac:dyDescent="0.3">
      <c r="A125" t="s">
        <v>213</v>
      </c>
      <c r="B125" s="3" t="s">
        <v>259</v>
      </c>
      <c r="C125" t="s">
        <v>215</v>
      </c>
      <c r="E125">
        <v>2023</v>
      </c>
      <c r="F125" t="s">
        <v>137</v>
      </c>
    </row>
    <row r="126" spans="1:6" x14ac:dyDescent="0.3">
      <c r="A126" t="s">
        <v>214</v>
      </c>
      <c r="B126" s="3" t="s">
        <v>259</v>
      </c>
      <c r="C126" t="s">
        <v>215</v>
      </c>
      <c r="E126">
        <v>2024</v>
      </c>
      <c r="F126" t="s">
        <v>137</v>
      </c>
    </row>
    <row r="127" spans="1:6" x14ac:dyDescent="0.3">
      <c r="A127" t="s">
        <v>439</v>
      </c>
      <c r="B127" s="3" t="s">
        <v>260</v>
      </c>
      <c r="C127" t="s">
        <v>217</v>
      </c>
      <c r="E127">
        <v>2022</v>
      </c>
      <c r="F127" t="s">
        <v>122</v>
      </c>
    </row>
    <row r="128" spans="1:6" x14ac:dyDescent="0.3">
      <c r="A128" t="s">
        <v>441</v>
      </c>
      <c r="B128" s="3" t="s">
        <v>260</v>
      </c>
      <c r="C128" t="s">
        <v>217</v>
      </c>
      <c r="E128">
        <v>2022</v>
      </c>
      <c r="F128" t="s">
        <v>137</v>
      </c>
    </row>
    <row r="129" spans="1:6" x14ac:dyDescent="0.3">
      <c r="A129" t="s">
        <v>440</v>
      </c>
      <c r="B129" s="3" t="s">
        <v>260</v>
      </c>
      <c r="C129" t="s">
        <v>217</v>
      </c>
      <c r="E129">
        <v>2022</v>
      </c>
      <c r="F129" t="s">
        <v>137</v>
      </c>
    </row>
    <row r="130" spans="1:6" x14ac:dyDescent="0.3">
      <c r="A130" t="s">
        <v>442</v>
      </c>
      <c r="B130" s="3" t="s">
        <v>260</v>
      </c>
      <c r="C130" t="s">
        <v>217</v>
      </c>
      <c r="E130">
        <v>2022</v>
      </c>
      <c r="F130" t="s">
        <v>137</v>
      </c>
    </row>
    <row r="131" spans="1:6" x14ac:dyDescent="0.3">
      <c r="A131" t="s">
        <v>443</v>
      </c>
      <c r="B131" s="3" t="s">
        <v>260</v>
      </c>
      <c r="C131" t="s">
        <v>217</v>
      </c>
      <c r="E131">
        <v>2022</v>
      </c>
      <c r="F131" t="s">
        <v>122</v>
      </c>
    </row>
    <row r="132" spans="1:6" x14ac:dyDescent="0.3">
      <c r="A132" t="s">
        <v>444</v>
      </c>
      <c r="B132" s="3" t="s">
        <v>260</v>
      </c>
      <c r="C132" t="s">
        <v>217</v>
      </c>
      <c r="E132">
        <v>2022</v>
      </c>
      <c r="F132" t="s">
        <v>137</v>
      </c>
    </row>
    <row r="133" spans="1:6" x14ac:dyDescent="0.3">
      <c r="A133" t="s">
        <v>445</v>
      </c>
      <c r="B133" s="3" t="s">
        <v>260</v>
      </c>
      <c r="C133" t="s">
        <v>218</v>
      </c>
      <c r="E133">
        <v>2022</v>
      </c>
      <c r="F133" t="s">
        <v>122</v>
      </c>
    </row>
    <row r="134" spans="1:6" x14ac:dyDescent="0.3">
      <c r="A134" t="s">
        <v>482</v>
      </c>
      <c r="B134" s="3" t="s">
        <v>261</v>
      </c>
      <c r="C134" t="s">
        <v>51</v>
      </c>
      <c r="E134">
        <v>2024</v>
      </c>
      <c r="F134" t="s">
        <v>137</v>
      </c>
    </row>
    <row r="135" spans="1:6" x14ac:dyDescent="0.3">
      <c r="A135" t="s">
        <v>483</v>
      </c>
      <c r="B135" s="3" t="s">
        <v>261</v>
      </c>
      <c r="C135" t="s">
        <v>51</v>
      </c>
      <c r="E135">
        <v>2024</v>
      </c>
      <c r="F135" t="s">
        <v>137</v>
      </c>
    </row>
    <row r="136" spans="1:6" x14ac:dyDescent="0.3">
      <c r="A136" t="s">
        <v>484</v>
      </c>
      <c r="B136" s="3" t="s">
        <v>261</v>
      </c>
      <c r="C136" t="s">
        <v>51</v>
      </c>
      <c r="E136">
        <v>2024</v>
      </c>
      <c r="F136" t="s">
        <v>137</v>
      </c>
    </row>
    <row r="137" spans="1:6" x14ac:dyDescent="0.3">
      <c r="A137" t="s">
        <v>219</v>
      </c>
      <c r="B137" s="3" t="s">
        <v>262</v>
      </c>
      <c r="C137" t="s">
        <v>55</v>
      </c>
      <c r="E137">
        <v>2022</v>
      </c>
      <c r="F137" t="s">
        <v>137</v>
      </c>
    </row>
    <row r="138" spans="1:6" x14ac:dyDescent="0.3">
      <c r="A138" t="s">
        <v>220</v>
      </c>
      <c r="B138" s="3" t="s">
        <v>262</v>
      </c>
      <c r="C138" t="s">
        <v>55</v>
      </c>
      <c r="E138">
        <v>2022</v>
      </c>
      <c r="F138" t="s">
        <v>137</v>
      </c>
    </row>
    <row r="139" spans="1:6" x14ac:dyDescent="0.3">
      <c r="A139" t="s">
        <v>446</v>
      </c>
      <c r="B139" s="3" t="s">
        <v>263</v>
      </c>
      <c r="C139" t="s">
        <v>216</v>
      </c>
      <c r="E139">
        <v>2024</v>
      </c>
      <c r="F139" t="s">
        <v>122</v>
      </c>
    </row>
    <row r="140" spans="1:6" x14ac:dyDescent="0.3">
      <c r="A140" t="s">
        <v>221</v>
      </c>
      <c r="B140" s="3" t="s">
        <v>264</v>
      </c>
      <c r="C140" t="s">
        <v>269</v>
      </c>
      <c r="E140">
        <v>2025</v>
      </c>
      <c r="F140" t="s">
        <v>122</v>
      </c>
    </row>
    <row r="141" spans="1:6" x14ac:dyDescent="0.3">
      <c r="A141" t="s">
        <v>222</v>
      </c>
      <c r="B141" s="3" t="s">
        <v>264</v>
      </c>
      <c r="C141" t="s">
        <v>269</v>
      </c>
      <c r="E141">
        <v>2026</v>
      </c>
      <c r="F141" t="s">
        <v>137</v>
      </c>
    </row>
    <row r="142" spans="1:6" x14ac:dyDescent="0.3">
      <c r="A142" t="s">
        <v>472</v>
      </c>
      <c r="B142" s="3" t="s">
        <v>476</v>
      </c>
      <c r="C142" t="s">
        <v>269</v>
      </c>
      <c r="E142">
        <v>2026</v>
      </c>
      <c r="F142" t="s">
        <v>137</v>
      </c>
    </row>
    <row r="143" spans="1:6" x14ac:dyDescent="0.3">
      <c r="A143" t="s">
        <v>473</v>
      </c>
      <c r="B143" s="3" t="s">
        <v>264</v>
      </c>
      <c r="C143" t="s">
        <v>269</v>
      </c>
      <c r="E143">
        <v>2026</v>
      </c>
      <c r="F143" t="s">
        <v>137</v>
      </c>
    </row>
    <row r="144" spans="1:6" x14ac:dyDescent="0.3">
      <c r="A144" t="s">
        <v>223</v>
      </c>
      <c r="B144" s="3" t="s">
        <v>264</v>
      </c>
      <c r="C144" t="s">
        <v>60</v>
      </c>
      <c r="E144">
        <v>2024</v>
      </c>
      <c r="F144" t="s">
        <v>137</v>
      </c>
    </row>
    <row r="145" spans="1:6" x14ac:dyDescent="0.3">
      <c r="A145" t="s">
        <v>224</v>
      </c>
      <c r="B145" s="3" t="s">
        <v>265</v>
      </c>
      <c r="C145" t="s">
        <v>56</v>
      </c>
      <c r="E145">
        <v>2023</v>
      </c>
      <c r="F145" t="s">
        <v>137</v>
      </c>
    </row>
    <row r="146" spans="1:6" x14ac:dyDescent="0.3">
      <c r="A146" t="s">
        <v>225</v>
      </c>
      <c r="B146" s="3" t="s">
        <v>266</v>
      </c>
      <c r="C146" t="s">
        <v>270</v>
      </c>
      <c r="E146">
        <v>2022</v>
      </c>
      <c r="F146" t="s">
        <v>137</v>
      </c>
    </row>
    <row r="147" spans="1:6" x14ac:dyDescent="0.3">
      <c r="A147" t="s">
        <v>226</v>
      </c>
      <c r="B147" s="3" t="s">
        <v>267</v>
      </c>
      <c r="C147" t="s">
        <v>217</v>
      </c>
      <c r="E147">
        <v>2026</v>
      </c>
      <c r="F147" t="s">
        <v>137</v>
      </c>
    </row>
    <row r="148" spans="1:6" x14ac:dyDescent="0.3">
      <c r="A148" t="s">
        <v>227</v>
      </c>
      <c r="B148" s="3" t="s">
        <v>268</v>
      </c>
      <c r="C148" t="s">
        <v>56</v>
      </c>
      <c r="E148">
        <v>2026</v>
      </c>
      <c r="F148" t="s">
        <v>137</v>
      </c>
    </row>
    <row r="149" spans="1:6" x14ac:dyDescent="0.3">
      <c r="A149" t="s">
        <v>272</v>
      </c>
      <c r="B149" s="3" t="s">
        <v>377</v>
      </c>
      <c r="E149">
        <v>2020</v>
      </c>
      <c r="F149" t="s">
        <v>122</v>
      </c>
    </row>
    <row r="150" spans="1:6" x14ac:dyDescent="0.3">
      <c r="A150" t="s">
        <v>273</v>
      </c>
      <c r="B150" s="3" t="s">
        <v>377</v>
      </c>
      <c r="E150">
        <v>2020</v>
      </c>
      <c r="F150" t="s">
        <v>137</v>
      </c>
    </row>
    <row r="151" spans="1:6" x14ac:dyDescent="0.3">
      <c r="A151" t="s">
        <v>274</v>
      </c>
      <c r="B151" s="3" t="s">
        <v>377</v>
      </c>
      <c r="E151">
        <v>2020</v>
      </c>
      <c r="F151" t="s">
        <v>137</v>
      </c>
    </row>
    <row r="152" spans="1:6" x14ac:dyDescent="0.3">
      <c r="A152" t="s">
        <v>275</v>
      </c>
      <c r="B152" s="3" t="s">
        <v>377</v>
      </c>
      <c r="E152">
        <v>2020</v>
      </c>
      <c r="F152" t="s">
        <v>137</v>
      </c>
    </row>
    <row r="153" spans="1:6" x14ac:dyDescent="0.3">
      <c r="A153" t="s">
        <v>276</v>
      </c>
      <c r="B153" s="3" t="s">
        <v>377</v>
      </c>
      <c r="E153">
        <v>2020</v>
      </c>
      <c r="F153" t="s">
        <v>137</v>
      </c>
    </row>
    <row r="154" spans="1:6" x14ac:dyDescent="0.3">
      <c r="A154" t="s">
        <v>448</v>
      </c>
      <c r="B154" s="3" t="s">
        <v>378</v>
      </c>
      <c r="F154" t="s">
        <v>137</v>
      </c>
    </row>
    <row r="155" spans="1:6" x14ac:dyDescent="0.3">
      <c r="A155" t="s">
        <v>447</v>
      </c>
      <c r="B155" s="3" t="s">
        <v>378</v>
      </c>
      <c r="F155" t="s">
        <v>137</v>
      </c>
    </row>
    <row r="156" spans="1:6" x14ac:dyDescent="0.3">
      <c r="A156" t="s">
        <v>277</v>
      </c>
      <c r="B156" s="3" t="s">
        <v>379</v>
      </c>
      <c r="E156">
        <v>2019</v>
      </c>
      <c r="F156" t="s">
        <v>122</v>
      </c>
    </row>
    <row r="157" spans="1:6" x14ac:dyDescent="0.3">
      <c r="A157" t="s">
        <v>449</v>
      </c>
      <c r="B157" s="3" t="s">
        <v>379</v>
      </c>
      <c r="F157" t="s">
        <v>122</v>
      </c>
    </row>
    <row r="158" spans="1:6" x14ac:dyDescent="0.3">
      <c r="A158" t="s">
        <v>450</v>
      </c>
      <c r="B158" s="3" t="s">
        <v>380</v>
      </c>
      <c r="E158">
        <v>2024</v>
      </c>
      <c r="F158" t="s">
        <v>122</v>
      </c>
    </row>
    <row r="159" spans="1:6" x14ac:dyDescent="0.3">
      <c r="A159" t="s">
        <v>451</v>
      </c>
      <c r="B159" s="3" t="s">
        <v>380</v>
      </c>
      <c r="E159">
        <v>2025</v>
      </c>
      <c r="F159" t="s">
        <v>122</v>
      </c>
    </row>
    <row r="160" spans="1:6" x14ac:dyDescent="0.3">
      <c r="A160" t="s">
        <v>452</v>
      </c>
      <c r="B160" s="3" t="s">
        <v>380</v>
      </c>
      <c r="E160">
        <v>2015</v>
      </c>
      <c r="F160" t="s">
        <v>137</v>
      </c>
    </row>
    <row r="161" spans="1:6" x14ac:dyDescent="0.3">
      <c r="A161" t="s">
        <v>278</v>
      </c>
      <c r="B161" s="3" t="s">
        <v>381</v>
      </c>
      <c r="F161" t="s">
        <v>122</v>
      </c>
    </row>
    <row r="162" spans="1:6" x14ac:dyDescent="0.3">
      <c r="A162" t="s">
        <v>279</v>
      </c>
      <c r="B162" s="3" t="s">
        <v>382</v>
      </c>
      <c r="F162" t="s">
        <v>122</v>
      </c>
    </row>
    <row r="163" spans="1:6" x14ac:dyDescent="0.3">
      <c r="A163" t="s">
        <v>280</v>
      </c>
      <c r="B163" s="3" t="s">
        <v>383</v>
      </c>
      <c r="F163" t="s">
        <v>137</v>
      </c>
    </row>
    <row r="164" spans="1:6" x14ac:dyDescent="0.3">
      <c r="A164" t="s">
        <v>281</v>
      </c>
      <c r="B164" s="3" t="s">
        <v>384</v>
      </c>
      <c r="F164" t="s">
        <v>122</v>
      </c>
    </row>
    <row r="165" spans="1:6" x14ac:dyDescent="0.3">
      <c r="A165" t="s">
        <v>282</v>
      </c>
      <c r="B165" s="3" t="s">
        <v>385</v>
      </c>
      <c r="F165" t="s">
        <v>137</v>
      </c>
    </row>
    <row r="166" spans="1:6" x14ac:dyDescent="0.3">
      <c r="A166" t="s">
        <v>462</v>
      </c>
      <c r="B166" s="3" t="s">
        <v>387</v>
      </c>
      <c r="E166">
        <v>2026</v>
      </c>
      <c r="F166" t="s">
        <v>137</v>
      </c>
    </row>
    <row r="167" spans="1:6" x14ac:dyDescent="0.3">
      <c r="A167" t="s">
        <v>283</v>
      </c>
      <c r="B167" s="3" t="s">
        <v>509</v>
      </c>
      <c r="F167" t="s">
        <v>137</v>
      </c>
    </row>
    <row r="168" spans="1:6" x14ac:dyDescent="0.3">
      <c r="A168" t="s">
        <v>284</v>
      </c>
      <c r="B168" s="3" t="s">
        <v>509</v>
      </c>
      <c r="F168" t="s">
        <v>137</v>
      </c>
    </row>
    <row r="169" spans="1:6" x14ac:dyDescent="0.3">
      <c r="A169" t="s">
        <v>285</v>
      </c>
      <c r="B169" s="3" t="s">
        <v>386</v>
      </c>
      <c r="E169">
        <v>2025</v>
      </c>
      <c r="F169" t="s">
        <v>137</v>
      </c>
    </row>
    <row r="170" spans="1:6" x14ac:dyDescent="0.3">
      <c r="A170" t="s">
        <v>286</v>
      </c>
      <c r="B170" s="3" t="s">
        <v>386</v>
      </c>
      <c r="E170">
        <v>2025</v>
      </c>
      <c r="F170" t="s">
        <v>137</v>
      </c>
    </row>
    <row r="171" spans="1:6" x14ac:dyDescent="0.3">
      <c r="A171" t="s">
        <v>287</v>
      </c>
      <c r="B171" s="3" t="s">
        <v>386</v>
      </c>
      <c r="E171">
        <v>2025</v>
      </c>
      <c r="F171" t="s">
        <v>137</v>
      </c>
    </row>
    <row r="172" spans="1:6" x14ac:dyDescent="0.3">
      <c r="A172" t="s">
        <v>288</v>
      </c>
      <c r="B172" s="3" t="s">
        <v>386</v>
      </c>
      <c r="E172">
        <v>2025</v>
      </c>
      <c r="F172" t="s">
        <v>137</v>
      </c>
    </row>
    <row r="173" spans="1:6" x14ac:dyDescent="0.3">
      <c r="A173" t="s">
        <v>289</v>
      </c>
      <c r="B173" s="3" t="s">
        <v>386</v>
      </c>
      <c r="E173">
        <v>2025</v>
      </c>
      <c r="F173" t="s">
        <v>137</v>
      </c>
    </row>
    <row r="174" spans="1:6" x14ac:dyDescent="0.3">
      <c r="A174" t="s">
        <v>290</v>
      </c>
      <c r="B174" s="3" t="s">
        <v>510</v>
      </c>
      <c r="C174" t="s">
        <v>295</v>
      </c>
      <c r="E174">
        <v>2025</v>
      </c>
      <c r="F174" t="s">
        <v>503</v>
      </c>
    </row>
    <row r="175" spans="1:6" x14ac:dyDescent="0.3">
      <c r="A175" t="s">
        <v>291</v>
      </c>
      <c r="B175" s="3" t="s">
        <v>510</v>
      </c>
      <c r="C175" t="s">
        <v>295</v>
      </c>
      <c r="E175">
        <v>2025</v>
      </c>
      <c r="F175" t="s">
        <v>137</v>
      </c>
    </row>
    <row r="176" spans="1:6" x14ac:dyDescent="0.3">
      <c r="A176" t="s">
        <v>292</v>
      </c>
      <c r="B176" s="3" t="s">
        <v>510</v>
      </c>
      <c r="C176" t="s">
        <v>295</v>
      </c>
      <c r="E176">
        <v>2025</v>
      </c>
      <c r="F176" t="s">
        <v>137</v>
      </c>
    </row>
    <row r="177" spans="1:6" x14ac:dyDescent="0.3">
      <c r="A177" t="s">
        <v>293</v>
      </c>
      <c r="B177" s="3" t="s">
        <v>510</v>
      </c>
      <c r="C177" t="s">
        <v>295</v>
      </c>
      <c r="E177">
        <v>2025</v>
      </c>
      <c r="F177" t="s">
        <v>137</v>
      </c>
    </row>
    <row r="178" spans="1:6" x14ac:dyDescent="0.3">
      <c r="A178" t="s">
        <v>294</v>
      </c>
      <c r="B178" s="3" t="s">
        <v>510</v>
      </c>
      <c r="C178" t="s">
        <v>295</v>
      </c>
      <c r="E178">
        <v>2025</v>
      </c>
      <c r="F178" t="s">
        <v>137</v>
      </c>
    </row>
    <row r="179" spans="1:6" x14ac:dyDescent="0.3">
      <c r="A179" t="s">
        <v>296</v>
      </c>
      <c r="B179" s="3" t="s">
        <v>387</v>
      </c>
      <c r="C179" t="s">
        <v>217</v>
      </c>
      <c r="F179" t="s">
        <v>122</v>
      </c>
    </row>
    <row r="180" spans="1:6" x14ac:dyDescent="0.3">
      <c r="A180" t="s">
        <v>297</v>
      </c>
      <c r="B180" s="3" t="s">
        <v>387</v>
      </c>
      <c r="C180" t="s">
        <v>217</v>
      </c>
      <c r="F180" t="s">
        <v>137</v>
      </c>
    </row>
    <row r="181" spans="1:6" x14ac:dyDescent="0.3">
      <c r="A181" t="s">
        <v>453</v>
      </c>
      <c r="B181" s="3" t="s">
        <v>387</v>
      </c>
      <c r="C181" t="s">
        <v>217</v>
      </c>
      <c r="F181" t="s">
        <v>122</v>
      </c>
    </row>
    <row r="182" spans="1:6" x14ac:dyDescent="0.3">
      <c r="A182" t="s">
        <v>454</v>
      </c>
      <c r="B182" s="3" t="s">
        <v>387</v>
      </c>
      <c r="C182" t="s">
        <v>217</v>
      </c>
      <c r="F182" t="s">
        <v>122</v>
      </c>
    </row>
    <row r="183" spans="1:6" x14ac:dyDescent="0.3">
      <c r="A183" t="s">
        <v>455</v>
      </c>
      <c r="B183" s="3" t="s">
        <v>387</v>
      </c>
      <c r="C183" t="s">
        <v>217</v>
      </c>
      <c r="F183" t="s">
        <v>122</v>
      </c>
    </row>
    <row r="184" spans="1:6" x14ac:dyDescent="0.3">
      <c r="A184" t="s">
        <v>456</v>
      </c>
      <c r="B184" s="3" t="s">
        <v>387</v>
      </c>
      <c r="C184" t="s">
        <v>217</v>
      </c>
      <c r="F184" t="s">
        <v>137</v>
      </c>
    </row>
    <row r="185" spans="1:6" x14ac:dyDescent="0.3">
      <c r="A185" t="s">
        <v>457</v>
      </c>
      <c r="B185" s="3" t="s">
        <v>387</v>
      </c>
      <c r="C185" t="s">
        <v>217</v>
      </c>
      <c r="E185">
        <v>2026</v>
      </c>
      <c r="F185" t="s">
        <v>137</v>
      </c>
    </row>
    <row r="186" spans="1:6" x14ac:dyDescent="0.3">
      <c r="A186" t="s">
        <v>458</v>
      </c>
      <c r="B186" s="3" t="s">
        <v>387</v>
      </c>
      <c r="F186" t="s">
        <v>122</v>
      </c>
    </row>
    <row r="187" spans="1:6" x14ac:dyDescent="0.3">
      <c r="A187" t="s">
        <v>459</v>
      </c>
      <c r="B187" s="3" t="s">
        <v>387</v>
      </c>
      <c r="F187" t="s">
        <v>137</v>
      </c>
    </row>
    <row r="188" spans="1:6" x14ac:dyDescent="0.3">
      <c r="A188" t="s">
        <v>460</v>
      </c>
      <c r="B188" s="3" t="s">
        <v>387</v>
      </c>
      <c r="F188" t="s">
        <v>137</v>
      </c>
    </row>
    <row r="189" spans="1:6" x14ac:dyDescent="0.3">
      <c r="A189" t="s">
        <v>461</v>
      </c>
      <c r="B189" s="3" t="s">
        <v>387</v>
      </c>
      <c r="F189" t="s">
        <v>137</v>
      </c>
    </row>
    <row r="190" spans="1:6" x14ac:dyDescent="0.3">
      <c r="A190" t="s">
        <v>912</v>
      </c>
      <c r="B190" s="3" t="s">
        <v>238</v>
      </c>
      <c r="C190" t="s">
        <v>299</v>
      </c>
      <c r="F190" t="s">
        <v>137</v>
      </c>
    </row>
    <row r="191" spans="1:6" x14ac:dyDescent="0.3">
      <c r="A191" t="s">
        <v>913</v>
      </c>
      <c r="B191" s="3" t="s">
        <v>238</v>
      </c>
      <c r="C191" t="s">
        <v>299</v>
      </c>
      <c r="F191" t="s">
        <v>122</v>
      </c>
    </row>
    <row r="192" spans="1:6" x14ac:dyDescent="0.3">
      <c r="A192" t="s">
        <v>914</v>
      </c>
      <c r="B192" s="3" t="s">
        <v>238</v>
      </c>
      <c r="C192" t="s">
        <v>299</v>
      </c>
      <c r="F192" t="s">
        <v>122</v>
      </c>
    </row>
    <row r="193" spans="1:6" x14ac:dyDescent="0.3">
      <c r="A193" t="s">
        <v>915</v>
      </c>
      <c r="B193" s="3" t="s">
        <v>238</v>
      </c>
      <c r="C193" t="s">
        <v>60</v>
      </c>
      <c r="F193" t="s">
        <v>122</v>
      </c>
    </row>
    <row r="194" spans="1:6" x14ac:dyDescent="0.3">
      <c r="A194" t="s">
        <v>916</v>
      </c>
      <c r="B194" s="3" t="s">
        <v>238</v>
      </c>
      <c r="C194" t="s">
        <v>60</v>
      </c>
      <c r="E194">
        <v>2026</v>
      </c>
      <c r="F194" t="s">
        <v>122</v>
      </c>
    </row>
    <row r="195" spans="1:6" x14ac:dyDescent="0.3">
      <c r="A195" t="s">
        <v>917</v>
      </c>
      <c r="B195" s="3" t="s">
        <v>238</v>
      </c>
      <c r="C195" t="s">
        <v>60</v>
      </c>
      <c r="F195" t="s">
        <v>122</v>
      </c>
    </row>
    <row r="196" spans="1:6" x14ac:dyDescent="0.3">
      <c r="A196" t="s">
        <v>918</v>
      </c>
      <c r="B196" s="3" t="s">
        <v>238</v>
      </c>
      <c r="C196" t="s">
        <v>921</v>
      </c>
      <c r="E196">
        <v>2026</v>
      </c>
      <c r="F196" t="s">
        <v>137</v>
      </c>
    </row>
    <row r="197" spans="1:6" x14ac:dyDescent="0.3">
      <c r="A197" t="s">
        <v>919</v>
      </c>
      <c r="B197" s="3" t="s">
        <v>238</v>
      </c>
      <c r="C197" t="s">
        <v>921</v>
      </c>
      <c r="E197">
        <v>2026</v>
      </c>
      <c r="F197" t="s">
        <v>137</v>
      </c>
    </row>
    <row r="198" spans="1:6" x14ac:dyDescent="0.3">
      <c r="A198" t="s">
        <v>920</v>
      </c>
      <c r="B198" s="3" t="s">
        <v>238</v>
      </c>
      <c r="C198" t="s">
        <v>921</v>
      </c>
      <c r="E198">
        <v>2026</v>
      </c>
      <c r="F198" t="s">
        <v>137</v>
      </c>
    </row>
    <row r="199" spans="1:6" x14ac:dyDescent="0.3">
      <c r="A199" t="s">
        <v>471</v>
      </c>
      <c r="B199" s="3" t="s">
        <v>238</v>
      </c>
      <c r="C199" t="s">
        <v>60</v>
      </c>
      <c r="E199">
        <v>2026</v>
      </c>
      <c r="F199" t="s">
        <v>122</v>
      </c>
    </row>
    <row r="200" spans="1:6" x14ac:dyDescent="0.3">
      <c r="A200" t="s">
        <v>929</v>
      </c>
      <c r="B200" s="3" t="s">
        <v>238</v>
      </c>
      <c r="C200" t="s">
        <v>60</v>
      </c>
      <c r="E200">
        <v>2026</v>
      </c>
      <c r="F200" t="s">
        <v>122</v>
      </c>
    </row>
    <row r="201" spans="1:6" x14ac:dyDescent="0.3">
      <c r="A201" t="s">
        <v>930</v>
      </c>
      <c r="B201" s="3" t="s">
        <v>238</v>
      </c>
      <c r="C201" t="s">
        <v>60</v>
      </c>
      <c r="E201">
        <v>2026</v>
      </c>
      <c r="F201" t="s">
        <v>122</v>
      </c>
    </row>
    <row r="202" spans="1:6" x14ac:dyDescent="0.3">
      <c r="A202" t="s">
        <v>931</v>
      </c>
      <c r="B202" s="3" t="s">
        <v>238</v>
      </c>
      <c r="C202" t="s">
        <v>60</v>
      </c>
      <c r="E202">
        <v>2026</v>
      </c>
      <c r="F202" t="s">
        <v>122</v>
      </c>
    </row>
    <row r="203" spans="1:6" x14ac:dyDescent="0.3">
      <c r="A203" t="s">
        <v>932</v>
      </c>
      <c r="B203" s="3" t="s">
        <v>238</v>
      </c>
      <c r="C203" t="s">
        <v>60</v>
      </c>
      <c r="E203">
        <v>2026</v>
      </c>
      <c r="F203" t="s">
        <v>122</v>
      </c>
    </row>
    <row r="204" spans="1:6" x14ac:dyDescent="0.3">
      <c r="A204" t="s">
        <v>934</v>
      </c>
      <c r="B204" s="3" t="s">
        <v>238</v>
      </c>
      <c r="C204" t="s">
        <v>60</v>
      </c>
      <c r="E204">
        <v>2026</v>
      </c>
      <c r="F204" t="s">
        <v>122</v>
      </c>
    </row>
    <row r="205" spans="1:6" x14ac:dyDescent="0.3">
      <c r="A205" t="s">
        <v>933</v>
      </c>
      <c r="B205" s="3" t="s">
        <v>238</v>
      </c>
      <c r="C205" t="s">
        <v>60</v>
      </c>
      <c r="E205">
        <v>2026</v>
      </c>
      <c r="F205" t="s">
        <v>122</v>
      </c>
    </row>
    <row r="206" spans="1:6" ht="13.8" customHeight="1" x14ac:dyDescent="0.3">
      <c r="A206" t="s">
        <v>469</v>
      </c>
      <c r="B206" s="3" t="s">
        <v>388</v>
      </c>
      <c r="C206" t="s">
        <v>200</v>
      </c>
      <c r="E206">
        <v>2026</v>
      </c>
      <c r="F206" t="s">
        <v>137</v>
      </c>
    </row>
    <row r="207" spans="1:6" ht="13.8" customHeight="1" x14ac:dyDescent="0.3">
      <c r="A207" t="s">
        <v>470</v>
      </c>
      <c r="B207" s="3" t="s">
        <v>388</v>
      </c>
      <c r="C207" t="s">
        <v>200</v>
      </c>
      <c r="E207">
        <v>2026</v>
      </c>
      <c r="F207" t="s">
        <v>137</v>
      </c>
    </row>
    <row r="208" spans="1:6" x14ac:dyDescent="0.3">
      <c r="A208" t="s">
        <v>371</v>
      </c>
      <c r="B208" s="3" t="s">
        <v>389</v>
      </c>
      <c r="C208" t="s">
        <v>372</v>
      </c>
      <c r="F208" t="s">
        <v>503</v>
      </c>
    </row>
    <row r="209" spans="1:6" x14ac:dyDescent="0.3">
      <c r="A209" t="s">
        <v>370</v>
      </c>
      <c r="B209" s="3" t="s">
        <v>390</v>
      </c>
      <c r="F209" t="s">
        <v>122</v>
      </c>
    </row>
    <row r="210" spans="1:6" x14ac:dyDescent="0.3">
      <c r="A210" t="s">
        <v>300</v>
      </c>
      <c r="B210" s="3" t="s">
        <v>391</v>
      </c>
      <c r="F210" t="s">
        <v>122</v>
      </c>
    </row>
    <row r="211" spans="1:6" x14ac:dyDescent="0.3">
      <c r="A211" t="s">
        <v>301</v>
      </c>
      <c r="B211" s="3" t="s">
        <v>392</v>
      </c>
      <c r="F211" t="s">
        <v>137</v>
      </c>
    </row>
    <row r="212" spans="1:6" x14ac:dyDescent="0.3">
      <c r="A212" t="s">
        <v>302</v>
      </c>
      <c r="B212" s="3" t="s">
        <v>392</v>
      </c>
      <c r="F212" t="s">
        <v>137</v>
      </c>
    </row>
    <row r="213" spans="1:6" x14ac:dyDescent="0.3">
      <c r="A213" t="s">
        <v>303</v>
      </c>
      <c r="B213" s="3" t="s">
        <v>393</v>
      </c>
      <c r="F213" t="s">
        <v>137</v>
      </c>
    </row>
    <row r="214" spans="1:6" x14ac:dyDescent="0.3">
      <c r="A214" t="s">
        <v>304</v>
      </c>
      <c r="B214" s="3" t="s">
        <v>394</v>
      </c>
      <c r="F214" t="s">
        <v>138</v>
      </c>
    </row>
    <row r="215" spans="1:6" x14ac:dyDescent="0.3">
      <c r="A215" t="s">
        <v>305</v>
      </c>
      <c r="B215" s="3" t="s">
        <v>395</v>
      </c>
      <c r="F215" t="s">
        <v>137</v>
      </c>
    </row>
    <row r="216" spans="1:6" x14ac:dyDescent="0.3">
      <c r="A216" t="s">
        <v>306</v>
      </c>
      <c r="B216" s="3" t="s">
        <v>395</v>
      </c>
      <c r="F216" t="s">
        <v>137</v>
      </c>
    </row>
    <row r="217" spans="1:6" x14ac:dyDescent="0.3">
      <c r="A217" t="s">
        <v>307</v>
      </c>
      <c r="B217" s="3" t="s">
        <v>396</v>
      </c>
      <c r="F217" t="s">
        <v>137</v>
      </c>
    </row>
    <row r="218" spans="1:6" x14ac:dyDescent="0.3">
      <c r="A218" t="s">
        <v>308</v>
      </c>
      <c r="B218" s="3" t="s">
        <v>245</v>
      </c>
      <c r="F218" t="s">
        <v>137</v>
      </c>
    </row>
    <row r="219" spans="1:6" x14ac:dyDescent="0.3">
      <c r="A219" t="s">
        <v>309</v>
      </c>
      <c r="B219" s="3" t="s">
        <v>397</v>
      </c>
      <c r="F219" t="s">
        <v>122</v>
      </c>
    </row>
    <row r="220" spans="1:6" x14ac:dyDescent="0.3">
      <c r="A220" t="s">
        <v>310</v>
      </c>
      <c r="B220" s="3" t="s">
        <v>397</v>
      </c>
      <c r="F220" t="s">
        <v>122</v>
      </c>
    </row>
    <row r="221" spans="1:6" x14ac:dyDescent="0.3">
      <c r="A221" t="s">
        <v>311</v>
      </c>
      <c r="B221" s="3" t="s">
        <v>398</v>
      </c>
      <c r="F221" t="s">
        <v>122</v>
      </c>
    </row>
    <row r="222" spans="1:6" x14ac:dyDescent="0.3">
      <c r="A222" t="s">
        <v>312</v>
      </c>
      <c r="B222" s="3" t="s">
        <v>398</v>
      </c>
      <c r="F222" t="s">
        <v>138</v>
      </c>
    </row>
    <row r="223" spans="1:6" x14ac:dyDescent="0.3">
      <c r="A223" t="s">
        <v>313</v>
      </c>
      <c r="B223" s="3" t="s">
        <v>399</v>
      </c>
      <c r="F223" t="s">
        <v>122</v>
      </c>
    </row>
    <row r="224" spans="1:6" x14ac:dyDescent="0.3">
      <c r="A224" t="s">
        <v>314</v>
      </c>
      <c r="B224" s="3" t="s">
        <v>400</v>
      </c>
      <c r="F224" t="s">
        <v>122</v>
      </c>
    </row>
    <row r="225" spans="1:6" x14ac:dyDescent="0.3">
      <c r="A225" t="s">
        <v>315</v>
      </c>
      <c r="B225" s="3" t="s">
        <v>401</v>
      </c>
      <c r="F225" t="s">
        <v>122</v>
      </c>
    </row>
    <row r="226" spans="1:6" x14ac:dyDescent="0.3">
      <c r="A226" t="s">
        <v>316</v>
      </c>
      <c r="B226" s="3" t="s">
        <v>402</v>
      </c>
      <c r="F226" t="s">
        <v>122</v>
      </c>
    </row>
    <row r="227" spans="1:6" x14ac:dyDescent="0.3">
      <c r="A227" t="s">
        <v>317</v>
      </c>
      <c r="B227" s="3" t="s">
        <v>403</v>
      </c>
      <c r="F227" t="s">
        <v>122</v>
      </c>
    </row>
    <row r="228" spans="1:6" x14ac:dyDescent="0.3">
      <c r="A228" t="s">
        <v>318</v>
      </c>
      <c r="B228" s="3" t="s">
        <v>404</v>
      </c>
      <c r="F228" t="s">
        <v>122</v>
      </c>
    </row>
    <row r="229" spans="1:6" x14ac:dyDescent="0.3">
      <c r="A229" t="s">
        <v>319</v>
      </c>
      <c r="B229" s="3" t="s">
        <v>238</v>
      </c>
      <c r="F229" t="s">
        <v>122</v>
      </c>
    </row>
    <row r="230" spans="1:6" x14ac:dyDescent="0.3">
      <c r="A230" t="s">
        <v>320</v>
      </c>
      <c r="B230" s="3" t="s">
        <v>405</v>
      </c>
      <c r="F230" t="s">
        <v>122</v>
      </c>
    </row>
    <row r="231" spans="1:6" x14ac:dyDescent="0.3">
      <c r="A231" t="s">
        <v>321</v>
      </c>
      <c r="B231" s="3" t="s">
        <v>405</v>
      </c>
      <c r="F231" t="s">
        <v>122</v>
      </c>
    </row>
    <row r="232" spans="1:6" x14ac:dyDescent="0.3">
      <c r="A232" t="s">
        <v>322</v>
      </c>
      <c r="B232" s="3" t="s">
        <v>406</v>
      </c>
      <c r="F232" t="s">
        <v>122</v>
      </c>
    </row>
    <row r="233" spans="1:6" x14ac:dyDescent="0.3">
      <c r="A233" t="s">
        <v>323</v>
      </c>
      <c r="B233" s="3" t="s">
        <v>406</v>
      </c>
      <c r="F233" t="s">
        <v>137</v>
      </c>
    </row>
    <row r="234" spans="1:6" x14ac:dyDescent="0.3">
      <c r="A234" t="s">
        <v>324</v>
      </c>
      <c r="B234" s="3" t="s">
        <v>406</v>
      </c>
      <c r="F234" t="s">
        <v>137</v>
      </c>
    </row>
    <row r="235" spans="1:6" x14ac:dyDescent="0.3">
      <c r="A235" t="s">
        <v>325</v>
      </c>
      <c r="B235" s="3" t="s">
        <v>406</v>
      </c>
      <c r="F235" t="s">
        <v>122</v>
      </c>
    </row>
    <row r="236" spans="1:6" x14ac:dyDescent="0.3">
      <c r="A236" t="s">
        <v>326</v>
      </c>
      <c r="B236" s="3" t="s">
        <v>407</v>
      </c>
      <c r="F236" t="s">
        <v>137</v>
      </c>
    </row>
    <row r="237" spans="1:6" x14ac:dyDescent="0.3">
      <c r="A237" t="s">
        <v>327</v>
      </c>
      <c r="B237" s="3" t="s">
        <v>407</v>
      </c>
      <c r="F237" t="s">
        <v>122</v>
      </c>
    </row>
    <row r="238" spans="1:6" x14ac:dyDescent="0.3">
      <c r="A238" t="s">
        <v>328</v>
      </c>
      <c r="B238" s="3" t="s">
        <v>407</v>
      </c>
      <c r="F238" t="s">
        <v>122</v>
      </c>
    </row>
    <row r="239" spans="1:6" x14ac:dyDescent="0.3">
      <c r="A239" t="s">
        <v>329</v>
      </c>
      <c r="B239" s="3" t="s">
        <v>387</v>
      </c>
      <c r="F239" t="s">
        <v>122</v>
      </c>
    </row>
    <row r="240" spans="1:6" x14ac:dyDescent="0.3">
      <c r="A240" t="s">
        <v>330</v>
      </c>
      <c r="B240" s="3" t="s">
        <v>387</v>
      </c>
      <c r="F240" t="s">
        <v>122</v>
      </c>
    </row>
    <row r="241" spans="1:6" x14ac:dyDescent="0.3">
      <c r="A241" t="s">
        <v>331</v>
      </c>
      <c r="B241" s="3" t="s">
        <v>387</v>
      </c>
      <c r="F241" t="s">
        <v>122</v>
      </c>
    </row>
    <row r="242" spans="1:6" x14ac:dyDescent="0.3">
      <c r="A242" t="s">
        <v>332</v>
      </c>
      <c r="B242" s="3" t="s">
        <v>408</v>
      </c>
      <c r="F242" t="s">
        <v>122</v>
      </c>
    </row>
    <row r="243" spans="1:6" x14ac:dyDescent="0.3">
      <c r="A243" t="s">
        <v>333</v>
      </c>
      <c r="B243" s="3" t="s">
        <v>409</v>
      </c>
      <c r="F243" t="s">
        <v>122</v>
      </c>
    </row>
    <row r="244" spans="1:6" x14ac:dyDescent="0.3">
      <c r="A244" t="s">
        <v>334</v>
      </c>
      <c r="B244" s="3" t="s">
        <v>410</v>
      </c>
      <c r="F244" t="s">
        <v>122</v>
      </c>
    </row>
    <row r="245" spans="1:6" x14ac:dyDescent="0.3">
      <c r="A245" t="s">
        <v>335</v>
      </c>
      <c r="B245" s="3" t="s">
        <v>411</v>
      </c>
      <c r="F245" t="s">
        <v>122</v>
      </c>
    </row>
    <row r="246" spans="1:6" x14ac:dyDescent="0.3">
      <c r="A246" t="s">
        <v>336</v>
      </c>
      <c r="B246" s="3" t="s">
        <v>412</v>
      </c>
      <c r="F246" t="s">
        <v>122</v>
      </c>
    </row>
    <row r="247" spans="1:6" x14ac:dyDescent="0.3">
      <c r="A247" t="s">
        <v>463</v>
      </c>
      <c r="B247" s="3" t="s">
        <v>413</v>
      </c>
      <c r="F247" t="s">
        <v>122</v>
      </c>
    </row>
    <row r="248" spans="1:6" x14ac:dyDescent="0.3">
      <c r="A248" t="s">
        <v>464</v>
      </c>
      <c r="B248" s="3" t="s">
        <v>413</v>
      </c>
      <c r="F248" t="s">
        <v>122</v>
      </c>
    </row>
    <row r="249" spans="1:6" x14ac:dyDescent="0.3">
      <c r="A249" t="s">
        <v>465</v>
      </c>
      <c r="B249" s="3" t="s">
        <v>413</v>
      </c>
      <c r="F249" t="s">
        <v>122</v>
      </c>
    </row>
    <row r="250" spans="1:6" x14ac:dyDescent="0.3">
      <c r="A250" t="s">
        <v>466</v>
      </c>
      <c r="B250" s="3" t="s">
        <v>413</v>
      </c>
      <c r="F250" t="s">
        <v>122</v>
      </c>
    </row>
    <row r="251" spans="1:6" x14ac:dyDescent="0.3">
      <c r="A251" t="s">
        <v>467</v>
      </c>
      <c r="B251" s="3" t="s">
        <v>413</v>
      </c>
      <c r="F251" t="s">
        <v>122</v>
      </c>
    </row>
    <row r="252" spans="1:6" x14ac:dyDescent="0.3">
      <c r="A252" t="s">
        <v>337</v>
      </c>
      <c r="B252" s="3" t="s">
        <v>414</v>
      </c>
      <c r="F252" t="s">
        <v>122</v>
      </c>
    </row>
    <row r="253" spans="1:6" x14ac:dyDescent="0.3">
      <c r="A253" t="s">
        <v>338</v>
      </c>
      <c r="B253" t="s">
        <v>339</v>
      </c>
      <c r="C253" t="s">
        <v>340</v>
      </c>
      <c r="D253" t="s">
        <v>341</v>
      </c>
      <c r="F253" t="s">
        <v>122</v>
      </c>
    </row>
    <row r="254" spans="1:6" x14ac:dyDescent="0.3">
      <c r="A254" t="s">
        <v>342</v>
      </c>
      <c r="B254" s="3" t="s">
        <v>90</v>
      </c>
      <c r="C254" t="s">
        <v>347</v>
      </c>
      <c r="D254" t="s">
        <v>348</v>
      </c>
      <c r="F254" t="s">
        <v>122</v>
      </c>
    </row>
    <row r="255" spans="1:6" x14ac:dyDescent="0.3">
      <c r="A255" t="s">
        <v>343</v>
      </c>
      <c r="B255" s="3" t="s">
        <v>90</v>
      </c>
      <c r="C255" t="s">
        <v>347</v>
      </c>
      <c r="D255" t="s">
        <v>349</v>
      </c>
      <c r="F255" t="s">
        <v>122</v>
      </c>
    </row>
    <row r="256" spans="1:6" x14ac:dyDescent="0.3">
      <c r="A256" t="s">
        <v>344</v>
      </c>
      <c r="B256" s="3" t="s">
        <v>90</v>
      </c>
      <c r="C256" t="s">
        <v>347</v>
      </c>
      <c r="D256" t="s">
        <v>349</v>
      </c>
      <c r="F256" t="s">
        <v>122</v>
      </c>
    </row>
    <row r="257" spans="1:6" x14ac:dyDescent="0.3">
      <c r="A257" t="s">
        <v>345</v>
      </c>
      <c r="B257" s="3" t="s">
        <v>90</v>
      </c>
      <c r="C257" t="s">
        <v>347</v>
      </c>
      <c r="D257" t="s">
        <v>348</v>
      </c>
      <c r="F257" t="s">
        <v>122</v>
      </c>
    </row>
    <row r="258" spans="1:6" x14ac:dyDescent="0.3">
      <c r="A258" t="s">
        <v>346</v>
      </c>
      <c r="B258" s="3" t="s">
        <v>90</v>
      </c>
      <c r="C258" t="s">
        <v>347</v>
      </c>
      <c r="D258" t="s">
        <v>348</v>
      </c>
      <c r="F258" t="s">
        <v>122</v>
      </c>
    </row>
    <row r="259" spans="1:6" x14ac:dyDescent="0.3">
      <c r="A259" t="s">
        <v>373</v>
      </c>
      <c r="B259" t="s">
        <v>374</v>
      </c>
      <c r="C259" t="s">
        <v>375</v>
      </c>
      <c r="D259" t="s">
        <v>376</v>
      </c>
      <c r="F259" t="s">
        <v>137</v>
      </c>
    </row>
    <row r="260" spans="1:6" x14ac:dyDescent="0.3">
      <c r="A260" t="s">
        <v>415</v>
      </c>
      <c r="B260" s="3" t="s">
        <v>243</v>
      </c>
      <c r="C260" t="s">
        <v>73</v>
      </c>
      <c r="F260" t="s">
        <v>137</v>
      </c>
    </row>
    <row r="261" spans="1:6" x14ac:dyDescent="0.3">
      <c r="A261" t="s">
        <v>350</v>
      </c>
      <c r="B261" s="3" t="s">
        <v>243</v>
      </c>
      <c r="F261" t="s">
        <v>138</v>
      </c>
    </row>
    <row r="262" spans="1:6" x14ac:dyDescent="0.3">
      <c r="A262" t="s">
        <v>351</v>
      </c>
      <c r="B262" s="3" t="s">
        <v>416</v>
      </c>
      <c r="F262" t="s">
        <v>137</v>
      </c>
    </row>
    <row r="263" spans="1:6" x14ac:dyDescent="0.3">
      <c r="A263" t="s">
        <v>352</v>
      </c>
      <c r="B263" s="3" t="s">
        <v>417</v>
      </c>
      <c r="F263" t="s">
        <v>137</v>
      </c>
    </row>
    <row r="264" spans="1:6" x14ac:dyDescent="0.3">
      <c r="A264" t="s">
        <v>353</v>
      </c>
      <c r="B264" s="3" t="s">
        <v>419</v>
      </c>
      <c r="F264" t="s">
        <v>137</v>
      </c>
    </row>
    <row r="265" spans="1:6" x14ac:dyDescent="0.3">
      <c r="A265" t="s">
        <v>354</v>
      </c>
      <c r="B265" s="3" t="s">
        <v>432</v>
      </c>
      <c r="F265" t="s">
        <v>137</v>
      </c>
    </row>
    <row r="266" spans="1:6" x14ac:dyDescent="0.3">
      <c r="A266" t="s">
        <v>355</v>
      </c>
      <c r="B266" s="3" t="s">
        <v>420</v>
      </c>
      <c r="F266" t="s">
        <v>137</v>
      </c>
    </row>
    <row r="267" spans="1:6" x14ac:dyDescent="0.3">
      <c r="A267" t="s">
        <v>356</v>
      </c>
      <c r="B267" s="3" t="s">
        <v>421</v>
      </c>
      <c r="F267" t="s">
        <v>122</v>
      </c>
    </row>
    <row r="268" spans="1:6" x14ac:dyDescent="0.3">
      <c r="A268" t="s">
        <v>357</v>
      </c>
      <c r="B268" s="3" t="s">
        <v>422</v>
      </c>
      <c r="F268" t="s">
        <v>122</v>
      </c>
    </row>
    <row r="269" spans="1:6" x14ac:dyDescent="0.3">
      <c r="A269" t="s">
        <v>358</v>
      </c>
      <c r="B269" s="3" t="s">
        <v>90</v>
      </c>
      <c r="F269" t="s">
        <v>137</v>
      </c>
    </row>
    <row r="270" spans="1:6" x14ac:dyDescent="0.3">
      <c r="A270" t="s">
        <v>359</v>
      </c>
      <c r="B270" s="3" t="s">
        <v>423</v>
      </c>
      <c r="F270" t="s">
        <v>137</v>
      </c>
    </row>
    <row r="271" spans="1:6" x14ac:dyDescent="0.3">
      <c r="A271" t="s">
        <v>360</v>
      </c>
      <c r="B271" s="3" t="s">
        <v>424</v>
      </c>
      <c r="F271" t="s">
        <v>137</v>
      </c>
    </row>
    <row r="272" spans="1:6" x14ac:dyDescent="0.3">
      <c r="A272" t="s">
        <v>361</v>
      </c>
      <c r="B272" s="3" t="s">
        <v>425</v>
      </c>
      <c r="F272" t="s">
        <v>137</v>
      </c>
    </row>
    <row r="273" spans="1:6" x14ac:dyDescent="0.3">
      <c r="A273" t="s">
        <v>362</v>
      </c>
      <c r="B273" s="3" t="s">
        <v>426</v>
      </c>
      <c r="F273" t="s">
        <v>122</v>
      </c>
    </row>
    <row r="274" spans="1:6" x14ac:dyDescent="0.3">
      <c r="A274" t="s">
        <v>363</v>
      </c>
      <c r="B274" s="3" t="s">
        <v>427</v>
      </c>
      <c r="F274" t="s">
        <v>138</v>
      </c>
    </row>
    <row r="275" spans="1:6" x14ac:dyDescent="0.3">
      <c r="A275" t="s">
        <v>364</v>
      </c>
      <c r="B275" s="3" t="s">
        <v>428</v>
      </c>
      <c r="F275" t="s">
        <v>138</v>
      </c>
    </row>
    <row r="276" spans="1:6" x14ac:dyDescent="0.3">
      <c r="A276" t="s">
        <v>365</v>
      </c>
      <c r="B276" s="3" t="s">
        <v>429</v>
      </c>
      <c r="F276" t="s">
        <v>138</v>
      </c>
    </row>
    <row r="277" spans="1:6" x14ac:dyDescent="0.3">
      <c r="A277" t="s">
        <v>366</v>
      </c>
      <c r="B277" s="3" t="s">
        <v>430</v>
      </c>
      <c r="F277" t="s">
        <v>138</v>
      </c>
    </row>
    <row r="278" spans="1:6" x14ac:dyDescent="0.3">
      <c r="A278" t="s">
        <v>367</v>
      </c>
      <c r="B278" s="3" t="s">
        <v>431</v>
      </c>
      <c r="F278" t="s">
        <v>122</v>
      </c>
    </row>
    <row r="279" spans="1:6" x14ac:dyDescent="0.3">
      <c r="A279" t="s">
        <v>368</v>
      </c>
      <c r="B279" s="3" t="s">
        <v>90</v>
      </c>
      <c r="F279" t="s">
        <v>138</v>
      </c>
    </row>
    <row r="280" spans="1:6" x14ac:dyDescent="0.3">
      <c r="A280" t="s">
        <v>369</v>
      </c>
      <c r="B280" s="3" t="s">
        <v>431</v>
      </c>
      <c r="F280" t="s">
        <v>122</v>
      </c>
    </row>
    <row r="281" spans="1:6" x14ac:dyDescent="0.3">
      <c r="A281" t="s">
        <v>433</v>
      </c>
      <c r="B281" s="3" t="s">
        <v>434</v>
      </c>
      <c r="C281" t="s">
        <v>57</v>
      </c>
      <c r="E281">
        <v>2026</v>
      </c>
      <c r="F281" t="s">
        <v>137</v>
      </c>
    </row>
    <row r="282" spans="1:6" x14ac:dyDescent="0.3">
      <c r="A282" t="s">
        <v>435</v>
      </c>
      <c r="B282" s="3" t="s">
        <v>436</v>
      </c>
      <c r="C282" t="s">
        <v>159</v>
      </c>
      <c r="E282">
        <v>2026</v>
      </c>
      <c r="F282" t="s">
        <v>137</v>
      </c>
    </row>
    <row r="283" spans="1:6" x14ac:dyDescent="0.3">
      <c r="A283" t="s">
        <v>468</v>
      </c>
      <c r="B283" s="3" t="s">
        <v>436</v>
      </c>
      <c r="C283" t="s">
        <v>159</v>
      </c>
      <c r="E283">
        <v>2026</v>
      </c>
      <c r="F283" t="s">
        <v>137</v>
      </c>
    </row>
    <row r="284" spans="1:6" x14ac:dyDescent="0.3">
      <c r="A284" t="s">
        <v>521</v>
      </c>
      <c r="B284" s="3" t="s">
        <v>436</v>
      </c>
      <c r="C284" t="s">
        <v>159</v>
      </c>
      <c r="E284">
        <v>2026</v>
      </c>
      <c r="F284" t="s">
        <v>137</v>
      </c>
    </row>
    <row r="285" spans="1:6" x14ac:dyDescent="0.3">
      <c r="A285" t="s">
        <v>474</v>
      </c>
      <c r="B285" s="3" t="s">
        <v>475</v>
      </c>
      <c r="C285" t="s">
        <v>51</v>
      </c>
      <c r="E285">
        <v>2026</v>
      </c>
      <c r="F285" t="s">
        <v>137</v>
      </c>
    </row>
    <row r="286" spans="1:6" x14ac:dyDescent="0.3">
      <c r="A286" t="s">
        <v>477</v>
      </c>
      <c r="B286" s="5" t="s">
        <v>478</v>
      </c>
      <c r="C286" t="s">
        <v>57</v>
      </c>
      <c r="E286">
        <v>2026</v>
      </c>
      <c r="F286" t="s">
        <v>137</v>
      </c>
    </row>
    <row r="287" spans="1:6" x14ac:dyDescent="0.3">
      <c r="A287" t="s">
        <v>479</v>
      </c>
      <c r="B287" s="5" t="s">
        <v>480</v>
      </c>
      <c r="C287" t="s">
        <v>56</v>
      </c>
      <c r="E287">
        <v>2026</v>
      </c>
      <c r="F287" t="s">
        <v>137</v>
      </c>
    </row>
    <row r="288" spans="1:6" x14ac:dyDescent="0.3">
      <c r="A288" t="s">
        <v>481</v>
      </c>
      <c r="B288" s="3" t="s">
        <v>387</v>
      </c>
      <c r="C288" t="s">
        <v>217</v>
      </c>
      <c r="E288">
        <v>2026</v>
      </c>
      <c r="F288" t="s">
        <v>137</v>
      </c>
    </row>
    <row r="289" spans="1:6" x14ac:dyDescent="0.3">
      <c r="A289" t="s">
        <v>485</v>
      </c>
      <c r="B289" s="6" t="s">
        <v>486</v>
      </c>
      <c r="C289" t="s">
        <v>51</v>
      </c>
      <c r="E289">
        <v>2026</v>
      </c>
      <c r="F289" t="s">
        <v>137</v>
      </c>
    </row>
    <row r="290" spans="1:6" x14ac:dyDescent="0.3">
      <c r="A290" t="s">
        <v>487</v>
      </c>
      <c r="B290" t="s">
        <v>489</v>
      </c>
      <c r="C290" t="s">
        <v>197</v>
      </c>
      <c r="E290">
        <v>2026</v>
      </c>
      <c r="F290" t="s">
        <v>137</v>
      </c>
    </row>
    <row r="291" spans="1:6" x14ac:dyDescent="0.3">
      <c r="A291" t="s">
        <v>488</v>
      </c>
      <c r="B291" t="s">
        <v>490</v>
      </c>
      <c r="C291" t="s">
        <v>183</v>
      </c>
      <c r="E291">
        <v>2026</v>
      </c>
      <c r="F291" t="s">
        <v>137</v>
      </c>
    </row>
    <row r="292" spans="1:6" x14ac:dyDescent="0.3">
      <c r="A292" t="s">
        <v>492</v>
      </c>
      <c r="B292" t="s">
        <v>491</v>
      </c>
      <c r="C292" t="s">
        <v>159</v>
      </c>
      <c r="E292">
        <v>2026</v>
      </c>
      <c r="F292" t="s">
        <v>137</v>
      </c>
    </row>
    <row r="293" spans="1:6" x14ac:dyDescent="0.3">
      <c r="A293" t="s">
        <v>493</v>
      </c>
      <c r="B293" t="s">
        <v>491</v>
      </c>
      <c r="C293" t="s">
        <v>159</v>
      </c>
      <c r="E293">
        <v>2026</v>
      </c>
      <c r="F293" t="s">
        <v>137</v>
      </c>
    </row>
    <row r="294" spans="1:6" x14ac:dyDescent="0.3">
      <c r="A294" t="s">
        <v>494</v>
      </c>
      <c r="B294" t="s">
        <v>491</v>
      </c>
      <c r="C294" t="s">
        <v>159</v>
      </c>
      <c r="E294">
        <v>2026</v>
      </c>
      <c r="F294" t="s">
        <v>137</v>
      </c>
    </row>
    <row r="295" spans="1:6" x14ac:dyDescent="0.3">
      <c r="A295" t="s">
        <v>495</v>
      </c>
      <c r="B295" t="s">
        <v>491</v>
      </c>
      <c r="C295" t="s">
        <v>159</v>
      </c>
      <c r="E295">
        <v>2026</v>
      </c>
      <c r="F295" t="s">
        <v>137</v>
      </c>
    </row>
    <row r="296" spans="1:6" x14ac:dyDescent="0.3">
      <c r="A296" t="s">
        <v>496</v>
      </c>
      <c r="B296" t="s">
        <v>387</v>
      </c>
      <c r="C296" t="s">
        <v>217</v>
      </c>
      <c r="E296">
        <v>2026</v>
      </c>
      <c r="F296" t="s">
        <v>137</v>
      </c>
    </row>
    <row r="297" spans="1:6" x14ac:dyDescent="0.3">
      <c r="A297" t="s">
        <v>498</v>
      </c>
      <c r="B297" t="s">
        <v>499</v>
      </c>
      <c r="C297" t="s">
        <v>500</v>
      </c>
      <c r="E297">
        <v>2026</v>
      </c>
      <c r="F297" t="s">
        <v>122</v>
      </c>
    </row>
    <row r="298" spans="1:6" x14ac:dyDescent="0.3">
      <c r="A298" t="s">
        <v>523</v>
      </c>
      <c r="B298" t="s">
        <v>524</v>
      </c>
      <c r="C298" t="s">
        <v>55</v>
      </c>
      <c r="E298">
        <v>2026</v>
      </c>
      <c r="F298" t="s">
        <v>137</v>
      </c>
    </row>
    <row r="299" spans="1:6" x14ac:dyDescent="0.3">
      <c r="A299" t="s">
        <v>923</v>
      </c>
      <c r="B299" t="s">
        <v>822</v>
      </c>
      <c r="C299" t="s">
        <v>71</v>
      </c>
      <c r="D299" s="5" t="s">
        <v>924</v>
      </c>
      <c r="E299">
        <v>2026</v>
      </c>
      <c r="F299" t="s">
        <v>137</v>
      </c>
    </row>
    <row r="300" spans="1:6" x14ac:dyDescent="0.3">
      <c r="A300" t="s">
        <v>925</v>
      </c>
      <c r="B300" t="s">
        <v>261</v>
      </c>
      <c r="C300" t="s">
        <v>51</v>
      </c>
      <c r="D300" s="19" t="s">
        <v>939</v>
      </c>
      <c r="E300">
        <v>2026</v>
      </c>
      <c r="F300" t="s">
        <v>137</v>
      </c>
    </row>
    <row r="301" spans="1:6" x14ac:dyDescent="0.3">
      <c r="A301" t="s">
        <v>926</v>
      </c>
      <c r="B301" t="s">
        <v>261</v>
      </c>
      <c r="C301" t="s">
        <v>51</v>
      </c>
      <c r="D301" s="19" t="s">
        <v>940</v>
      </c>
      <c r="E301">
        <v>2026</v>
      </c>
      <c r="F301" t="s">
        <v>137</v>
      </c>
    </row>
    <row r="302" spans="1:6" x14ac:dyDescent="0.3">
      <c r="A302" t="s">
        <v>927</v>
      </c>
      <c r="B302" t="s">
        <v>935</v>
      </c>
      <c r="C302" t="s">
        <v>51</v>
      </c>
      <c r="D302" s="20" t="s">
        <v>941</v>
      </c>
      <c r="E302">
        <v>2026</v>
      </c>
      <c r="F302" t="s">
        <v>137</v>
      </c>
    </row>
    <row r="303" spans="1:6" x14ac:dyDescent="0.3">
      <c r="A303" t="s">
        <v>928</v>
      </c>
      <c r="B303" t="s">
        <v>936</v>
      </c>
      <c r="C303" t="s">
        <v>937</v>
      </c>
      <c r="D303" s="19" t="s">
        <v>938</v>
      </c>
      <c r="E303">
        <v>2026</v>
      </c>
      <c r="F303" t="s">
        <v>137</v>
      </c>
    </row>
    <row r="304" spans="1:6" x14ac:dyDescent="0.3">
      <c r="A304" t="s">
        <v>942</v>
      </c>
      <c r="B304" t="s">
        <v>623</v>
      </c>
      <c r="C304" t="s">
        <v>200</v>
      </c>
      <c r="E304">
        <v>2026</v>
      </c>
      <c r="F304" t="s">
        <v>122</v>
      </c>
    </row>
    <row r="305" spans="1:6" x14ac:dyDescent="0.3">
      <c r="A305" t="s">
        <v>624</v>
      </c>
      <c r="B305" t="s">
        <v>623</v>
      </c>
      <c r="C305" t="s">
        <v>200</v>
      </c>
      <c r="E305">
        <v>2026</v>
      </c>
      <c r="F305" t="s">
        <v>122</v>
      </c>
    </row>
    <row r="306" spans="1:6" x14ac:dyDescent="0.3">
      <c r="A306" t="s">
        <v>622</v>
      </c>
      <c r="B306" t="s">
        <v>623</v>
      </c>
      <c r="C306" t="s">
        <v>200</v>
      </c>
      <c r="E306">
        <v>2026</v>
      </c>
      <c r="F306" t="s">
        <v>122</v>
      </c>
    </row>
    <row r="307" spans="1:6" x14ac:dyDescent="0.3">
      <c r="A307" t="s">
        <v>943</v>
      </c>
      <c r="B307" t="s">
        <v>623</v>
      </c>
      <c r="C307" t="s">
        <v>200</v>
      </c>
      <c r="E307">
        <v>2026</v>
      </c>
      <c r="F307" t="s">
        <v>122</v>
      </c>
    </row>
    <row r="308" spans="1:6" x14ac:dyDescent="0.3">
      <c r="A308" t="s">
        <v>944</v>
      </c>
      <c r="B308" t="s">
        <v>623</v>
      </c>
      <c r="C308" t="s">
        <v>200</v>
      </c>
      <c r="E308">
        <v>2026</v>
      </c>
      <c r="F308" t="s">
        <v>122</v>
      </c>
    </row>
    <row r="309" spans="1:6" x14ac:dyDescent="0.3">
      <c r="A309" t="s">
        <v>945</v>
      </c>
      <c r="B309" t="s">
        <v>623</v>
      </c>
      <c r="C309" t="s">
        <v>200</v>
      </c>
      <c r="E309">
        <v>2026</v>
      </c>
      <c r="F309" t="s">
        <v>122</v>
      </c>
    </row>
    <row r="310" spans="1:6" x14ac:dyDescent="0.3">
      <c r="A310" t="s">
        <v>946</v>
      </c>
      <c r="B310" t="s">
        <v>623</v>
      </c>
      <c r="C310" t="s">
        <v>200</v>
      </c>
      <c r="E310">
        <v>2026</v>
      </c>
      <c r="F310" t="s">
        <v>137</v>
      </c>
    </row>
    <row r="311" spans="1:6" x14ac:dyDescent="0.3">
      <c r="A311" t="s">
        <v>947</v>
      </c>
      <c r="B311" t="s">
        <v>623</v>
      </c>
      <c r="C311" t="s">
        <v>200</v>
      </c>
      <c r="E311">
        <v>2026</v>
      </c>
      <c r="F311" t="s">
        <v>137</v>
      </c>
    </row>
    <row r="312" spans="1:6" x14ac:dyDescent="0.3">
      <c r="A312" t="s">
        <v>948</v>
      </c>
      <c r="B312" t="s">
        <v>623</v>
      </c>
      <c r="C312" t="s">
        <v>200</v>
      </c>
      <c r="E312">
        <v>2026</v>
      </c>
      <c r="F312" t="s">
        <v>137</v>
      </c>
    </row>
    <row r="313" spans="1:6" x14ac:dyDescent="0.3">
      <c r="A313" t="s">
        <v>949</v>
      </c>
      <c r="B313" t="s">
        <v>623</v>
      </c>
      <c r="C313" t="s">
        <v>200</v>
      </c>
      <c r="E313">
        <v>2026</v>
      </c>
      <c r="F313" t="s">
        <v>137</v>
      </c>
    </row>
    <row r="314" spans="1:6" x14ac:dyDescent="0.3">
      <c r="A314" t="s">
        <v>950</v>
      </c>
      <c r="B314" t="s">
        <v>623</v>
      </c>
      <c r="C314" t="s">
        <v>200</v>
      </c>
      <c r="E314">
        <v>2026</v>
      </c>
      <c r="F314" t="s">
        <v>137</v>
      </c>
    </row>
    <row r="315" spans="1:6" x14ac:dyDescent="0.3">
      <c r="A315" t="s">
        <v>951</v>
      </c>
      <c r="B315" t="s">
        <v>623</v>
      </c>
      <c r="C315" t="s">
        <v>200</v>
      </c>
      <c r="E315">
        <v>2026</v>
      </c>
      <c r="F315" t="s">
        <v>137</v>
      </c>
    </row>
    <row r="316" spans="1:6" x14ac:dyDescent="0.3">
      <c r="A316" t="s">
        <v>952</v>
      </c>
      <c r="B316" t="s">
        <v>623</v>
      </c>
      <c r="C316" t="s">
        <v>200</v>
      </c>
      <c r="E316">
        <v>2026</v>
      </c>
      <c r="F316" t="s">
        <v>137</v>
      </c>
    </row>
    <row r="317" spans="1:6" x14ac:dyDescent="0.3">
      <c r="A317" t="s">
        <v>954</v>
      </c>
      <c r="B317" t="s">
        <v>964</v>
      </c>
      <c r="C317" t="s">
        <v>51</v>
      </c>
      <c r="E317">
        <v>2026</v>
      </c>
      <c r="F317" t="s">
        <v>137</v>
      </c>
    </row>
    <row r="318" spans="1:6" x14ac:dyDescent="0.3">
      <c r="A318" t="s">
        <v>955</v>
      </c>
      <c r="B318" t="s">
        <v>964</v>
      </c>
      <c r="C318" t="s">
        <v>51</v>
      </c>
      <c r="E318">
        <v>2026</v>
      </c>
      <c r="F318" t="s">
        <v>137</v>
      </c>
    </row>
    <row r="319" spans="1:6" x14ac:dyDescent="0.3">
      <c r="A319" t="s">
        <v>956</v>
      </c>
      <c r="B319" t="s">
        <v>964</v>
      </c>
      <c r="C319" t="s">
        <v>51</v>
      </c>
      <c r="E319">
        <v>2026</v>
      </c>
      <c r="F319" t="s">
        <v>137</v>
      </c>
    </row>
    <row r="320" spans="1:6" x14ac:dyDescent="0.3">
      <c r="A320" t="s">
        <v>957</v>
      </c>
      <c r="B320" t="s">
        <v>964</v>
      </c>
      <c r="C320" t="s">
        <v>51</v>
      </c>
      <c r="E320">
        <v>2026</v>
      </c>
      <c r="F320" t="s">
        <v>137</v>
      </c>
    </row>
    <row r="321" spans="1:6" x14ac:dyDescent="0.3">
      <c r="A321" t="s">
        <v>958</v>
      </c>
      <c r="B321" t="s">
        <v>964</v>
      </c>
      <c r="C321" t="s">
        <v>51</v>
      </c>
      <c r="E321">
        <v>2026</v>
      </c>
      <c r="F321" t="s">
        <v>137</v>
      </c>
    </row>
    <row r="322" spans="1:6" x14ac:dyDescent="0.3">
      <c r="A322" t="s">
        <v>959</v>
      </c>
      <c r="B322" t="s">
        <v>964</v>
      </c>
      <c r="C322" t="s">
        <v>51</v>
      </c>
      <c r="E322">
        <v>2026</v>
      </c>
      <c r="F322" t="s">
        <v>137</v>
      </c>
    </row>
    <row r="323" spans="1:6" x14ac:dyDescent="0.3">
      <c r="A323" t="s">
        <v>960</v>
      </c>
      <c r="B323" t="s">
        <v>964</v>
      </c>
      <c r="C323" t="s">
        <v>51</v>
      </c>
      <c r="E323">
        <v>2026</v>
      </c>
      <c r="F323" t="s">
        <v>137</v>
      </c>
    </row>
    <row r="324" spans="1:6" x14ac:dyDescent="0.3">
      <c r="A324" t="s">
        <v>961</v>
      </c>
      <c r="B324" t="s">
        <v>964</v>
      </c>
      <c r="C324" t="s">
        <v>51</v>
      </c>
      <c r="E324">
        <v>2026</v>
      </c>
      <c r="F324" t="s">
        <v>137</v>
      </c>
    </row>
    <row r="325" spans="1:6" x14ac:dyDescent="0.3">
      <c r="A325" t="s">
        <v>962</v>
      </c>
      <c r="B325" t="s">
        <v>964</v>
      </c>
      <c r="C325" t="s">
        <v>51</v>
      </c>
      <c r="E325">
        <v>2026</v>
      </c>
      <c r="F325" t="s">
        <v>137</v>
      </c>
    </row>
    <row r="326" spans="1:6" x14ac:dyDescent="0.3">
      <c r="A326" t="s">
        <v>963</v>
      </c>
      <c r="B326" t="s">
        <v>964</v>
      </c>
      <c r="C326" t="s">
        <v>51</v>
      </c>
      <c r="E326">
        <v>2026</v>
      </c>
      <c r="F326" t="s">
        <v>137</v>
      </c>
    </row>
  </sheetData>
  <dataConsolidate/>
  <dataValidations count="2">
    <dataValidation type="list" allowBlank="1" showInputMessage="1" showErrorMessage="1" sqref="F1 F1009:F1048576" xr:uid="{87AE9120-76E8-4D3D-A074-CB2B474536BB}">
      <formula1>"Sim,Não,Abandonado,Lendo"</formula1>
    </dataValidation>
    <dataValidation type="list" allowBlank="1" showInputMessage="1" showErrorMessage="1" sqref="F2:F1008" xr:uid="{49D3098D-843F-4AA0-85E5-297F38FFF10D}">
      <formula1>"Sim,Não,Abandonado,Lendo,Relendo"</formula1>
    </dataValidation>
  </dataValidations>
  <hyperlinks>
    <hyperlink ref="B289" r:id="rId1" display="https://www.amazon.com.br/s/ref=dp_byline_sr_book_1?ie=UTF8&amp;field-author=Maggie+O%E2%80%99Farrell&amp;text=Maggie+O%E2%80%99Farrell&amp;sort=relevancerank&amp;search-alias=stripbooks" xr:uid="{C02ED0BC-367C-4DA6-BEED-7E2CA24CC586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F732-AB30-4EC6-B7AA-4448A7D369C7}">
  <dimension ref="A1:F525"/>
  <sheetViews>
    <sheetView topLeftCell="A268" workbookViewId="0">
      <selection activeCell="E278" sqref="E278"/>
    </sheetView>
  </sheetViews>
  <sheetFormatPr defaultRowHeight="14.4" x14ac:dyDescent="0.3"/>
  <cols>
    <col min="1" max="1" width="80.109375" customWidth="1"/>
    <col min="2" max="2" width="37.77734375" customWidth="1"/>
    <col min="3" max="3" width="15.33203125" customWidth="1"/>
    <col min="4" max="4" width="15.77734375" customWidth="1"/>
    <col min="5" max="5" width="10.33203125" customWidth="1"/>
  </cols>
  <sheetData>
    <row r="1" spans="1:6" x14ac:dyDescent="0.3">
      <c r="A1" s="13" t="s">
        <v>0</v>
      </c>
      <c r="B1" s="13" t="s">
        <v>1</v>
      </c>
      <c r="C1" s="13" t="s">
        <v>526</v>
      </c>
      <c r="D1" s="13" t="s">
        <v>879</v>
      </c>
      <c r="E1" s="13" t="s">
        <v>890</v>
      </c>
    </row>
    <row r="2" spans="1:6" x14ac:dyDescent="0.3">
      <c r="A2" s="13" t="s">
        <v>527</v>
      </c>
      <c r="B2" s="13" t="s">
        <v>90</v>
      </c>
      <c r="C2" s="12">
        <v>35796</v>
      </c>
      <c r="D2" s="18" t="s">
        <v>884</v>
      </c>
    </row>
    <row r="3" spans="1:6" x14ac:dyDescent="0.3">
      <c r="A3" s="13" t="s">
        <v>528</v>
      </c>
      <c r="B3" s="11"/>
      <c r="C3" s="12">
        <v>35796</v>
      </c>
      <c r="D3" s="18" t="s">
        <v>884</v>
      </c>
    </row>
    <row r="4" spans="1:6" x14ac:dyDescent="0.3">
      <c r="A4" s="13" t="s">
        <v>529</v>
      </c>
      <c r="B4" s="13" t="s">
        <v>530</v>
      </c>
      <c r="C4" s="12">
        <v>36161</v>
      </c>
      <c r="D4" s="18" t="s">
        <v>884</v>
      </c>
    </row>
    <row r="5" spans="1:6" x14ac:dyDescent="0.3">
      <c r="A5" s="13" t="s">
        <v>531</v>
      </c>
      <c r="B5" s="11"/>
      <c r="C5" s="12">
        <v>36161</v>
      </c>
      <c r="D5" s="18" t="s">
        <v>884</v>
      </c>
    </row>
    <row r="6" spans="1:6" x14ac:dyDescent="0.3">
      <c r="A6" s="13" t="s">
        <v>532</v>
      </c>
      <c r="B6" s="11"/>
      <c r="C6" s="12">
        <v>36161</v>
      </c>
      <c r="D6" s="18" t="s">
        <v>884</v>
      </c>
    </row>
    <row r="7" spans="1:6" x14ac:dyDescent="0.3">
      <c r="A7" s="13" t="s">
        <v>533</v>
      </c>
      <c r="B7" s="11" t="s">
        <v>534</v>
      </c>
      <c r="C7" s="12">
        <v>37257</v>
      </c>
      <c r="D7" s="18" t="s">
        <v>884</v>
      </c>
    </row>
    <row r="8" spans="1:6" x14ac:dyDescent="0.3">
      <c r="A8" s="13" t="s">
        <v>535</v>
      </c>
      <c r="B8" s="11"/>
      <c r="C8" s="12">
        <v>37257</v>
      </c>
      <c r="D8" s="18" t="s">
        <v>884</v>
      </c>
    </row>
    <row r="9" spans="1:6" x14ac:dyDescent="0.3">
      <c r="A9" s="13" t="s">
        <v>536</v>
      </c>
      <c r="B9" s="13" t="s">
        <v>408</v>
      </c>
      <c r="C9" s="12">
        <v>37347</v>
      </c>
      <c r="D9" s="18" t="s">
        <v>882</v>
      </c>
    </row>
    <row r="10" spans="1:6" x14ac:dyDescent="0.3">
      <c r="A10" s="13" t="s">
        <v>537</v>
      </c>
      <c r="B10" s="13" t="s">
        <v>238</v>
      </c>
      <c r="C10" s="12">
        <v>37987</v>
      </c>
      <c r="D10" s="18" t="s">
        <v>880</v>
      </c>
      <c r="E10" t="s">
        <v>889</v>
      </c>
    </row>
    <row r="11" spans="1:6" x14ac:dyDescent="0.3">
      <c r="A11" s="13" t="s">
        <v>538</v>
      </c>
      <c r="B11" s="13" t="s">
        <v>238</v>
      </c>
      <c r="C11" s="12">
        <v>37987</v>
      </c>
      <c r="D11" s="18" t="s">
        <v>880</v>
      </c>
      <c r="E11" t="s">
        <v>889</v>
      </c>
    </row>
    <row r="12" spans="1:6" x14ac:dyDescent="0.3">
      <c r="A12" s="13" t="s">
        <v>539</v>
      </c>
      <c r="B12" s="13" t="s">
        <v>540</v>
      </c>
      <c r="C12" s="12">
        <v>38353</v>
      </c>
      <c r="D12" s="18" t="s">
        <v>881</v>
      </c>
    </row>
    <row r="13" spans="1:6" x14ac:dyDescent="0.3">
      <c r="A13" s="13" t="s">
        <v>541</v>
      </c>
      <c r="B13" s="13" t="s">
        <v>238</v>
      </c>
      <c r="C13" s="12">
        <v>38353</v>
      </c>
      <c r="D13" s="18" t="s">
        <v>880</v>
      </c>
      <c r="E13" t="s">
        <v>889</v>
      </c>
    </row>
    <row r="14" spans="1:6" x14ac:dyDescent="0.3">
      <c r="A14" s="13" t="s">
        <v>542</v>
      </c>
      <c r="B14" s="13" t="s">
        <v>116</v>
      </c>
      <c r="C14" s="12">
        <v>38353</v>
      </c>
      <c r="D14" s="18" t="s">
        <v>880</v>
      </c>
      <c r="E14" t="s">
        <v>891</v>
      </c>
      <c r="F14" s="18"/>
    </row>
    <row r="15" spans="1:6" x14ac:dyDescent="0.3">
      <c r="A15" s="13" t="s">
        <v>543</v>
      </c>
      <c r="B15" s="13" t="s">
        <v>544</v>
      </c>
      <c r="C15" s="12">
        <v>38718</v>
      </c>
      <c r="D15" s="18" t="s">
        <v>880</v>
      </c>
      <c r="E15" t="s">
        <v>891</v>
      </c>
    </row>
    <row r="16" spans="1:6" x14ac:dyDescent="0.3">
      <c r="A16" s="13" t="s">
        <v>545</v>
      </c>
      <c r="B16" s="13" t="s">
        <v>544</v>
      </c>
      <c r="C16" s="12">
        <v>38718</v>
      </c>
      <c r="D16" s="18" t="s">
        <v>880</v>
      </c>
      <c r="E16" t="s">
        <v>891</v>
      </c>
    </row>
    <row r="17" spans="1:5" x14ac:dyDescent="0.3">
      <c r="A17" s="13" t="s">
        <v>546</v>
      </c>
      <c r="B17" s="13" t="s">
        <v>238</v>
      </c>
      <c r="C17" s="12">
        <v>39083</v>
      </c>
      <c r="D17" s="18" t="s">
        <v>880</v>
      </c>
      <c r="E17" t="s">
        <v>889</v>
      </c>
    </row>
    <row r="18" spans="1:5" x14ac:dyDescent="0.3">
      <c r="A18" s="13" t="s">
        <v>547</v>
      </c>
      <c r="B18" s="13" t="s">
        <v>238</v>
      </c>
      <c r="C18" s="12">
        <v>39083</v>
      </c>
      <c r="D18" s="18" t="s">
        <v>880</v>
      </c>
      <c r="E18" t="s">
        <v>889</v>
      </c>
    </row>
    <row r="19" spans="1:5" x14ac:dyDescent="0.3">
      <c r="A19" s="13" t="s">
        <v>548</v>
      </c>
      <c r="B19" s="13" t="s">
        <v>238</v>
      </c>
      <c r="C19" s="12">
        <v>39083</v>
      </c>
      <c r="D19" s="18" t="s">
        <v>880</v>
      </c>
      <c r="E19" t="s">
        <v>889</v>
      </c>
    </row>
    <row r="20" spans="1:5" x14ac:dyDescent="0.3">
      <c r="A20" s="13" t="s">
        <v>549</v>
      </c>
      <c r="B20" s="13" t="s">
        <v>544</v>
      </c>
      <c r="C20" s="12">
        <v>39083</v>
      </c>
      <c r="D20" s="18" t="s">
        <v>880</v>
      </c>
      <c r="E20" t="s">
        <v>891</v>
      </c>
    </row>
    <row r="21" spans="1:5" x14ac:dyDescent="0.3">
      <c r="A21" s="13" t="s">
        <v>550</v>
      </c>
      <c r="B21" s="13" t="s">
        <v>544</v>
      </c>
      <c r="C21" s="12">
        <v>39083</v>
      </c>
      <c r="D21" s="18" t="s">
        <v>880</v>
      </c>
      <c r="E21" t="s">
        <v>891</v>
      </c>
    </row>
    <row r="22" spans="1:5" x14ac:dyDescent="0.3">
      <c r="A22" s="13" t="s">
        <v>551</v>
      </c>
      <c r="B22" s="13" t="s">
        <v>238</v>
      </c>
      <c r="C22" s="12">
        <v>39448</v>
      </c>
      <c r="D22" s="18" t="s">
        <v>880</v>
      </c>
      <c r="E22" t="s">
        <v>889</v>
      </c>
    </row>
    <row r="23" spans="1:5" x14ac:dyDescent="0.3">
      <c r="A23" s="13" t="s">
        <v>552</v>
      </c>
      <c r="B23" s="13" t="s">
        <v>553</v>
      </c>
      <c r="C23" s="12">
        <v>39448</v>
      </c>
      <c r="D23" s="18" t="s">
        <v>881</v>
      </c>
    </row>
    <row r="24" spans="1:5" x14ac:dyDescent="0.3">
      <c r="A24" s="13" t="s">
        <v>554</v>
      </c>
      <c r="B24" s="13" t="s">
        <v>555</v>
      </c>
      <c r="C24" s="12">
        <v>39448</v>
      </c>
      <c r="D24" s="18" t="s">
        <v>880</v>
      </c>
      <c r="E24" t="s">
        <v>889</v>
      </c>
    </row>
    <row r="25" spans="1:5" x14ac:dyDescent="0.3">
      <c r="A25" s="13" t="s">
        <v>556</v>
      </c>
      <c r="B25" s="13" t="s">
        <v>555</v>
      </c>
      <c r="C25" s="12">
        <v>39448</v>
      </c>
      <c r="D25" s="18" t="s">
        <v>880</v>
      </c>
      <c r="E25" t="s">
        <v>889</v>
      </c>
    </row>
    <row r="26" spans="1:5" x14ac:dyDescent="0.3">
      <c r="A26" s="13" t="s">
        <v>557</v>
      </c>
      <c r="B26" s="13" t="s">
        <v>558</v>
      </c>
      <c r="C26" s="12">
        <v>39448</v>
      </c>
      <c r="D26" s="18" t="s">
        <v>881</v>
      </c>
    </row>
    <row r="27" spans="1:5" x14ac:dyDescent="0.3">
      <c r="A27" s="13" t="s">
        <v>559</v>
      </c>
      <c r="B27" s="13" t="s">
        <v>431</v>
      </c>
      <c r="C27" s="12">
        <v>39448</v>
      </c>
      <c r="D27" s="18" t="s">
        <v>882</v>
      </c>
    </row>
    <row r="28" spans="1:5" x14ac:dyDescent="0.3">
      <c r="A28" s="13" t="s">
        <v>560</v>
      </c>
      <c r="B28" s="13" t="s">
        <v>431</v>
      </c>
      <c r="C28" s="12">
        <v>39448</v>
      </c>
      <c r="D28" s="18" t="s">
        <v>882</v>
      </c>
    </row>
    <row r="29" spans="1:5" x14ac:dyDescent="0.3">
      <c r="A29" s="13" t="s">
        <v>317</v>
      </c>
      <c r="B29" s="13" t="s">
        <v>403</v>
      </c>
      <c r="C29" s="12">
        <v>39448</v>
      </c>
      <c r="D29" s="18" t="s">
        <v>882</v>
      </c>
    </row>
    <row r="30" spans="1:5" x14ac:dyDescent="0.3">
      <c r="A30" s="13" t="s">
        <v>561</v>
      </c>
      <c r="B30" s="13" t="s">
        <v>339</v>
      </c>
      <c r="C30" s="12">
        <v>39448</v>
      </c>
      <c r="D30" s="18" t="s">
        <v>882</v>
      </c>
    </row>
    <row r="31" spans="1:5" x14ac:dyDescent="0.3">
      <c r="A31" s="13" t="s">
        <v>562</v>
      </c>
      <c r="B31" s="13" t="s">
        <v>563</v>
      </c>
      <c r="C31" s="12">
        <v>39448</v>
      </c>
      <c r="D31" s="18" t="s">
        <v>885</v>
      </c>
    </row>
    <row r="32" spans="1:5" x14ac:dyDescent="0.3">
      <c r="A32" s="13" t="s">
        <v>564</v>
      </c>
      <c r="B32" s="13" t="s">
        <v>565</v>
      </c>
      <c r="C32" s="12">
        <v>39448</v>
      </c>
      <c r="D32" s="18" t="s">
        <v>882</v>
      </c>
    </row>
    <row r="33" spans="1:5" x14ac:dyDescent="0.3">
      <c r="A33" s="13" t="s">
        <v>566</v>
      </c>
      <c r="B33" s="13" t="s">
        <v>565</v>
      </c>
      <c r="C33" s="12">
        <v>39448</v>
      </c>
      <c r="D33" s="18" t="s">
        <v>886</v>
      </c>
      <c r="E33" t="s">
        <v>892</v>
      </c>
    </row>
    <row r="34" spans="1:5" x14ac:dyDescent="0.3">
      <c r="A34" s="13" t="s">
        <v>567</v>
      </c>
      <c r="B34" s="13" t="s">
        <v>565</v>
      </c>
      <c r="C34" s="12">
        <v>39448</v>
      </c>
      <c r="D34" s="18" t="s">
        <v>886</v>
      </c>
      <c r="E34" t="s">
        <v>892</v>
      </c>
    </row>
    <row r="35" spans="1:5" x14ac:dyDescent="0.3">
      <c r="A35" s="13" t="s">
        <v>568</v>
      </c>
      <c r="B35" s="13" t="s">
        <v>565</v>
      </c>
      <c r="C35" s="12">
        <v>39448</v>
      </c>
      <c r="D35" s="18" t="s">
        <v>886</v>
      </c>
      <c r="E35" t="s">
        <v>892</v>
      </c>
    </row>
    <row r="36" spans="1:5" x14ac:dyDescent="0.3">
      <c r="A36" s="13" t="s">
        <v>569</v>
      </c>
      <c r="B36" s="13" t="s">
        <v>570</v>
      </c>
      <c r="C36" s="12">
        <v>39814</v>
      </c>
      <c r="D36" s="18" t="s">
        <v>880</v>
      </c>
      <c r="E36" t="s">
        <v>889</v>
      </c>
    </row>
    <row r="37" spans="1:5" x14ac:dyDescent="0.3">
      <c r="A37" s="13" t="s">
        <v>66</v>
      </c>
      <c r="B37" s="13" t="s">
        <v>116</v>
      </c>
      <c r="C37" s="12">
        <v>39814</v>
      </c>
      <c r="D37" s="18" t="s">
        <v>882</v>
      </c>
    </row>
    <row r="38" spans="1:5" x14ac:dyDescent="0.3">
      <c r="A38" s="13" t="s">
        <v>571</v>
      </c>
      <c r="B38" s="13" t="s">
        <v>572</v>
      </c>
      <c r="C38" s="12">
        <v>39814</v>
      </c>
      <c r="D38" s="18" t="s">
        <v>880</v>
      </c>
      <c r="E38" t="s">
        <v>889</v>
      </c>
    </row>
    <row r="39" spans="1:5" x14ac:dyDescent="0.3">
      <c r="A39" s="13" t="s">
        <v>573</v>
      </c>
      <c r="B39" s="13" t="s">
        <v>544</v>
      </c>
      <c r="C39" s="12">
        <v>40179</v>
      </c>
      <c r="D39" s="18" t="s">
        <v>886</v>
      </c>
      <c r="E39" t="s">
        <v>893</v>
      </c>
    </row>
    <row r="40" spans="1:5" x14ac:dyDescent="0.3">
      <c r="A40" s="13" t="s">
        <v>574</v>
      </c>
      <c r="B40" s="13" t="s">
        <v>431</v>
      </c>
      <c r="C40" s="12">
        <v>40179</v>
      </c>
      <c r="D40" s="18" t="s">
        <v>881</v>
      </c>
    </row>
    <row r="41" spans="1:5" x14ac:dyDescent="0.3">
      <c r="A41" s="13" t="s">
        <v>575</v>
      </c>
      <c r="B41" s="13" t="s">
        <v>576</v>
      </c>
      <c r="C41" s="12">
        <v>40179</v>
      </c>
      <c r="D41" s="18" t="s">
        <v>881</v>
      </c>
    </row>
    <row r="42" spans="1:5" x14ac:dyDescent="0.3">
      <c r="A42" s="13" t="s">
        <v>577</v>
      </c>
      <c r="B42" s="13" t="s">
        <v>116</v>
      </c>
      <c r="C42" s="12">
        <v>40179</v>
      </c>
      <c r="D42" s="18" t="s">
        <v>881</v>
      </c>
    </row>
    <row r="43" spans="1:5" x14ac:dyDescent="0.3">
      <c r="A43" s="13" t="s">
        <v>578</v>
      </c>
      <c r="B43" s="13" t="s">
        <v>116</v>
      </c>
      <c r="C43" s="12">
        <v>40179</v>
      </c>
      <c r="D43" s="18" t="s">
        <v>886</v>
      </c>
      <c r="E43" t="s">
        <v>894</v>
      </c>
    </row>
    <row r="44" spans="1:5" x14ac:dyDescent="0.3">
      <c r="A44" s="13" t="s">
        <v>579</v>
      </c>
      <c r="B44" s="13" t="s">
        <v>580</v>
      </c>
      <c r="C44" s="12">
        <v>40909</v>
      </c>
      <c r="D44" s="18" t="s">
        <v>881</v>
      </c>
    </row>
    <row r="45" spans="1:5" x14ac:dyDescent="0.3">
      <c r="A45" s="13" t="s">
        <v>581</v>
      </c>
      <c r="B45" s="13" t="s">
        <v>582</v>
      </c>
      <c r="C45" s="12">
        <v>40909</v>
      </c>
      <c r="D45" s="18" t="s">
        <v>880</v>
      </c>
      <c r="E45" t="s">
        <v>895</v>
      </c>
    </row>
    <row r="46" spans="1:5" x14ac:dyDescent="0.3">
      <c r="A46" s="13" t="s">
        <v>583</v>
      </c>
      <c r="B46" s="13" t="s">
        <v>240</v>
      </c>
      <c r="C46" s="12">
        <v>40909</v>
      </c>
      <c r="D46" s="18" t="s">
        <v>882</v>
      </c>
    </row>
    <row r="47" spans="1:5" x14ac:dyDescent="0.3">
      <c r="A47" s="13" t="s">
        <v>584</v>
      </c>
      <c r="B47" s="13" t="s">
        <v>431</v>
      </c>
      <c r="C47" s="12">
        <v>40909</v>
      </c>
      <c r="D47" s="18" t="s">
        <v>881</v>
      </c>
    </row>
    <row r="48" spans="1:5" x14ac:dyDescent="0.3">
      <c r="A48" s="13" t="s">
        <v>585</v>
      </c>
      <c r="B48" s="13" t="s">
        <v>116</v>
      </c>
      <c r="C48" s="12">
        <v>40909</v>
      </c>
      <c r="D48" s="18" t="s">
        <v>886</v>
      </c>
      <c r="E48" t="s">
        <v>894</v>
      </c>
    </row>
    <row r="49" spans="1:5" x14ac:dyDescent="0.3">
      <c r="A49" s="13" t="s">
        <v>586</v>
      </c>
      <c r="B49" s="13" t="s">
        <v>565</v>
      </c>
      <c r="C49" s="12">
        <v>40909</v>
      </c>
      <c r="D49" s="18" t="s">
        <v>880</v>
      </c>
      <c r="E49" t="s">
        <v>896</v>
      </c>
    </row>
    <row r="50" spans="1:5" x14ac:dyDescent="0.3">
      <c r="A50" s="13" t="s">
        <v>587</v>
      </c>
      <c r="B50" s="13" t="s">
        <v>588</v>
      </c>
      <c r="C50" s="12">
        <v>41275</v>
      </c>
      <c r="D50" s="18" t="s">
        <v>880</v>
      </c>
      <c r="E50" t="s">
        <v>891</v>
      </c>
    </row>
    <row r="51" spans="1:5" x14ac:dyDescent="0.3">
      <c r="A51" s="13" t="s">
        <v>589</v>
      </c>
      <c r="B51" s="13" t="s">
        <v>590</v>
      </c>
      <c r="C51" s="12">
        <v>41275</v>
      </c>
      <c r="D51" s="18" t="s">
        <v>880</v>
      </c>
      <c r="E51" t="s">
        <v>891</v>
      </c>
    </row>
    <row r="52" spans="1:5" x14ac:dyDescent="0.3">
      <c r="A52" s="13" t="s">
        <v>591</v>
      </c>
      <c r="B52" s="13" t="s">
        <v>590</v>
      </c>
      <c r="C52" s="12">
        <v>41275</v>
      </c>
      <c r="D52" s="18" t="s">
        <v>880</v>
      </c>
      <c r="E52" t="s">
        <v>891</v>
      </c>
    </row>
    <row r="53" spans="1:5" x14ac:dyDescent="0.3">
      <c r="A53" s="13" t="s">
        <v>592</v>
      </c>
      <c r="B53" s="13" t="s">
        <v>590</v>
      </c>
      <c r="C53" s="12">
        <v>41275</v>
      </c>
      <c r="D53" s="18" t="s">
        <v>880</v>
      </c>
      <c r="E53" t="s">
        <v>891</v>
      </c>
    </row>
    <row r="54" spans="1:5" x14ac:dyDescent="0.3">
      <c r="A54" s="13" t="s">
        <v>593</v>
      </c>
      <c r="B54" s="13" t="s">
        <v>590</v>
      </c>
      <c r="C54" s="12">
        <v>41275</v>
      </c>
      <c r="D54" s="18" t="s">
        <v>880</v>
      </c>
      <c r="E54" t="s">
        <v>891</v>
      </c>
    </row>
    <row r="55" spans="1:5" x14ac:dyDescent="0.3">
      <c r="A55" s="13" t="s">
        <v>594</v>
      </c>
      <c r="B55" s="13" t="s">
        <v>590</v>
      </c>
      <c r="C55" s="12">
        <v>41275</v>
      </c>
      <c r="D55" s="18" t="s">
        <v>880</v>
      </c>
      <c r="E55" t="s">
        <v>891</v>
      </c>
    </row>
    <row r="56" spans="1:5" x14ac:dyDescent="0.3">
      <c r="A56" s="13" t="s">
        <v>595</v>
      </c>
      <c r="B56" s="13" t="s">
        <v>590</v>
      </c>
      <c r="C56" s="12">
        <v>41275</v>
      </c>
      <c r="D56" s="18" t="s">
        <v>880</v>
      </c>
      <c r="E56" t="s">
        <v>891</v>
      </c>
    </row>
    <row r="57" spans="1:5" x14ac:dyDescent="0.3">
      <c r="A57" s="13" t="s">
        <v>596</v>
      </c>
      <c r="B57" s="13" t="s">
        <v>590</v>
      </c>
      <c r="C57" s="12">
        <v>41275</v>
      </c>
      <c r="D57" s="18" t="s">
        <v>880</v>
      </c>
      <c r="E57" t="s">
        <v>891</v>
      </c>
    </row>
    <row r="58" spans="1:5" x14ac:dyDescent="0.3">
      <c r="A58" s="13" t="s">
        <v>597</v>
      </c>
      <c r="B58" s="14" t="s">
        <v>590</v>
      </c>
      <c r="C58" s="12">
        <v>41275</v>
      </c>
      <c r="D58" s="18" t="s">
        <v>880</v>
      </c>
      <c r="E58" t="s">
        <v>891</v>
      </c>
    </row>
    <row r="59" spans="1:5" x14ac:dyDescent="0.3">
      <c r="A59" s="13" t="s">
        <v>598</v>
      </c>
      <c r="B59" s="13" t="s">
        <v>590</v>
      </c>
      <c r="C59" s="12">
        <v>41275</v>
      </c>
      <c r="D59" s="18" t="s">
        <v>880</v>
      </c>
      <c r="E59" t="s">
        <v>891</v>
      </c>
    </row>
    <row r="60" spans="1:5" x14ac:dyDescent="0.3">
      <c r="A60" s="13" t="s">
        <v>599</v>
      </c>
      <c r="B60" s="13" t="s">
        <v>590</v>
      </c>
      <c r="C60" s="12">
        <v>41275</v>
      </c>
      <c r="D60" s="18" t="s">
        <v>880</v>
      </c>
      <c r="E60" t="s">
        <v>891</v>
      </c>
    </row>
    <row r="61" spans="1:5" x14ac:dyDescent="0.3">
      <c r="A61" s="13" t="s">
        <v>600</v>
      </c>
      <c r="B61" s="13" t="s">
        <v>259</v>
      </c>
      <c r="C61" s="12">
        <v>41275</v>
      </c>
      <c r="D61" s="18" t="s">
        <v>882</v>
      </c>
    </row>
    <row r="62" spans="1:5" x14ac:dyDescent="0.3">
      <c r="A62" s="13" t="s">
        <v>601</v>
      </c>
      <c r="B62" s="11" t="s">
        <v>602</v>
      </c>
      <c r="C62" s="12">
        <v>41275</v>
      </c>
      <c r="D62" s="18" t="s">
        <v>880</v>
      </c>
      <c r="E62" t="s">
        <v>895</v>
      </c>
    </row>
    <row r="63" spans="1:5" x14ac:dyDescent="0.3">
      <c r="A63" s="13" t="s">
        <v>603</v>
      </c>
      <c r="B63" s="11" t="s">
        <v>602</v>
      </c>
      <c r="C63" s="12">
        <v>41275</v>
      </c>
      <c r="D63" s="18" t="s">
        <v>880</v>
      </c>
      <c r="E63" t="s">
        <v>895</v>
      </c>
    </row>
    <row r="64" spans="1:5" x14ac:dyDescent="0.3">
      <c r="A64" s="13" t="s">
        <v>604</v>
      </c>
      <c r="B64" s="13" t="s">
        <v>605</v>
      </c>
      <c r="C64" s="12">
        <v>41640</v>
      </c>
      <c r="D64" s="18" t="s">
        <v>881</v>
      </c>
    </row>
    <row r="65" spans="1:5" x14ac:dyDescent="0.3">
      <c r="A65" s="13" t="s">
        <v>606</v>
      </c>
      <c r="B65" s="11" t="s">
        <v>602</v>
      </c>
      <c r="C65" s="12">
        <v>41640</v>
      </c>
      <c r="D65" s="18" t="s">
        <v>880</v>
      </c>
      <c r="E65" t="s">
        <v>895</v>
      </c>
    </row>
    <row r="66" spans="1:5" x14ac:dyDescent="0.3">
      <c r="A66" s="13" t="s">
        <v>607</v>
      </c>
      <c r="B66" s="11" t="s">
        <v>602</v>
      </c>
      <c r="C66" s="12">
        <v>41640</v>
      </c>
      <c r="D66" s="18" t="s">
        <v>880</v>
      </c>
      <c r="E66" t="s">
        <v>895</v>
      </c>
    </row>
    <row r="67" spans="1:5" x14ac:dyDescent="0.3">
      <c r="A67" s="13" t="s">
        <v>608</v>
      </c>
      <c r="B67" s="11" t="s">
        <v>240</v>
      </c>
      <c r="C67" s="12">
        <v>41640</v>
      </c>
      <c r="D67" s="18" t="s">
        <v>882</v>
      </c>
    </row>
    <row r="68" spans="1:5" x14ac:dyDescent="0.3">
      <c r="A68" s="13" t="s">
        <v>609</v>
      </c>
      <c r="B68" s="13" t="s">
        <v>610</v>
      </c>
      <c r="C68" s="12">
        <v>41640</v>
      </c>
      <c r="D68" s="18" t="s">
        <v>880</v>
      </c>
      <c r="E68" t="s">
        <v>897</v>
      </c>
    </row>
    <row r="69" spans="1:5" x14ac:dyDescent="0.3">
      <c r="A69" s="13" t="s">
        <v>611</v>
      </c>
      <c r="B69" s="13" t="s">
        <v>109</v>
      </c>
      <c r="C69" s="12">
        <v>42005</v>
      </c>
      <c r="D69" s="18" t="s">
        <v>882</v>
      </c>
    </row>
    <row r="70" spans="1:5" x14ac:dyDescent="0.3">
      <c r="A70" s="13" t="s">
        <v>612</v>
      </c>
      <c r="B70" s="13" t="s">
        <v>613</v>
      </c>
      <c r="C70" s="12">
        <v>42005</v>
      </c>
      <c r="D70" s="18" t="s">
        <v>880</v>
      </c>
      <c r="E70" t="s">
        <v>895</v>
      </c>
    </row>
    <row r="71" spans="1:5" x14ac:dyDescent="0.3">
      <c r="A71" s="13" t="s">
        <v>614</v>
      </c>
      <c r="B71" s="13" t="s">
        <v>615</v>
      </c>
      <c r="C71" s="12">
        <v>42005</v>
      </c>
      <c r="D71" s="18" t="s">
        <v>880</v>
      </c>
      <c r="E71" t="s">
        <v>891</v>
      </c>
    </row>
    <row r="72" spans="1:5" x14ac:dyDescent="0.3">
      <c r="A72" s="13" t="s">
        <v>48</v>
      </c>
      <c r="B72" s="13" t="s">
        <v>106</v>
      </c>
      <c r="C72" s="12">
        <v>42005</v>
      </c>
      <c r="D72" s="18" t="s">
        <v>882</v>
      </c>
    </row>
    <row r="73" spans="1:5" x14ac:dyDescent="0.3">
      <c r="A73" s="13" t="s">
        <v>616</v>
      </c>
      <c r="B73" s="13" t="s">
        <v>617</v>
      </c>
      <c r="C73" s="12">
        <v>42370</v>
      </c>
      <c r="D73" s="18" t="s">
        <v>882</v>
      </c>
    </row>
    <row r="74" spans="1:5" x14ac:dyDescent="0.3">
      <c r="A74" s="13" t="s">
        <v>618</v>
      </c>
      <c r="B74" s="13" t="s">
        <v>619</v>
      </c>
      <c r="C74" s="12">
        <v>42370</v>
      </c>
      <c r="D74" s="18" t="s">
        <v>881</v>
      </c>
    </row>
    <row r="75" spans="1:5" x14ac:dyDescent="0.3">
      <c r="A75" s="13" t="s">
        <v>620</v>
      </c>
      <c r="B75" s="11" t="s">
        <v>621</v>
      </c>
      <c r="C75" s="12">
        <v>42370</v>
      </c>
      <c r="D75" s="18" t="s">
        <v>882</v>
      </c>
    </row>
    <row r="76" spans="1:5" x14ac:dyDescent="0.3">
      <c r="A76" s="13" t="s">
        <v>622</v>
      </c>
      <c r="B76" s="13" t="s">
        <v>623</v>
      </c>
      <c r="C76" s="12">
        <v>42736</v>
      </c>
      <c r="D76" s="18" t="s">
        <v>880</v>
      </c>
      <c r="E76" t="s">
        <v>889</v>
      </c>
    </row>
    <row r="77" spans="1:5" x14ac:dyDescent="0.3">
      <c r="A77" s="13" t="s">
        <v>311</v>
      </c>
      <c r="B77" s="13" t="s">
        <v>398</v>
      </c>
      <c r="C77" s="12">
        <v>42736</v>
      </c>
      <c r="D77" s="18" t="s">
        <v>882</v>
      </c>
    </row>
    <row r="78" spans="1:5" x14ac:dyDescent="0.3">
      <c r="A78" s="13" t="s">
        <v>624</v>
      </c>
      <c r="B78" s="13" t="s">
        <v>623</v>
      </c>
      <c r="C78" s="12">
        <v>42736</v>
      </c>
      <c r="D78" s="18" t="s">
        <v>880</v>
      </c>
      <c r="E78" t="s">
        <v>889</v>
      </c>
    </row>
    <row r="79" spans="1:5" x14ac:dyDescent="0.3">
      <c r="A79" s="13" t="s">
        <v>625</v>
      </c>
      <c r="B79" s="13" t="s">
        <v>623</v>
      </c>
      <c r="C79" s="12">
        <v>42736</v>
      </c>
      <c r="D79" s="18" t="s">
        <v>880</v>
      </c>
      <c r="E79" t="s">
        <v>889</v>
      </c>
    </row>
    <row r="80" spans="1:5" x14ac:dyDescent="0.3">
      <c r="A80" s="13" t="s">
        <v>626</v>
      </c>
      <c r="B80" s="13" t="s">
        <v>627</v>
      </c>
      <c r="C80" s="12">
        <v>42736</v>
      </c>
      <c r="D80" s="18" t="s">
        <v>881</v>
      </c>
    </row>
    <row r="81" spans="1:5" x14ac:dyDescent="0.3">
      <c r="A81" s="13" t="s">
        <v>944</v>
      </c>
      <c r="B81" s="13" t="s">
        <v>623</v>
      </c>
      <c r="C81" s="12">
        <v>43101</v>
      </c>
      <c r="D81" s="18" t="s">
        <v>880</v>
      </c>
      <c r="E81" t="s">
        <v>889</v>
      </c>
    </row>
    <row r="82" spans="1:5" x14ac:dyDescent="0.3">
      <c r="A82" s="13" t="s">
        <v>628</v>
      </c>
      <c r="B82" s="13" t="s">
        <v>401</v>
      </c>
      <c r="C82" s="12">
        <v>43101</v>
      </c>
      <c r="D82" s="18" t="s">
        <v>882</v>
      </c>
    </row>
    <row r="83" spans="1:5" x14ac:dyDescent="0.3">
      <c r="A83" s="13" t="s">
        <v>629</v>
      </c>
      <c r="B83" s="13" t="s">
        <v>630</v>
      </c>
      <c r="C83" s="12">
        <v>43101</v>
      </c>
      <c r="D83" s="18" t="s">
        <v>880</v>
      </c>
      <c r="E83" t="s">
        <v>898</v>
      </c>
    </row>
    <row r="84" spans="1:5" x14ac:dyDescent="0.3">
      <c r="A84" s="13" t="s">
        <v>631</v>
      </c>
      <c r="B84" s="13" t="s">
        <v>632</v>
      </c>
      <c r="C84" s="12">
        <v>43101</v>
      </c>
      <c r="D84" s="18" t="s">
        <v>880</v>
      </c>
      <c r="E84" t="s">
        <v>895</v>
      </c>
    </row>
    <row r="85" spans="1:5" x14ac:dyDescent="0.3">
      <c r="A85" s="13" t="s">
        <v>633</v>
      </c>
      <c r="B85" s="13" t="s">
        <v>634</v>
      </c>
      <c r="C85" s="12">
        <v>43101</v>
      </c>
      <c r="D85" s="18" t="s">
        <v>880</v>
      </c>
      <c r="E85" t="s">
        <v>898</v>
      </c>
    </row>
    <row r="86" spans="1:5" x14ac:dyDescent="0.3">
      <c r="A86" s="13" t="s">
        <v>635</v>
      </c>
      <c r="B86" s="13" t="s">
        <v>636</v>
      </c>
      <c r="C86" s="12">
        <v>43101</v>
      </c>
      <c r="D86" s="18" t="s">
        <v>880</v>
      </c>
      <c r="E86" t="s">
        <v>898</v>
      </c>
    </row>
    <row r="87" spans="1:5" x14ac:dyDescent="0.3">
      <c r="A87" s="13" t="s">
        <v>637</v>
      </c>
      <c r="B87" s="13" t="s">
        <v>636</v>
      </c>
      <c r="C87" s="12">
        <v>43101</v>
      </c>
      <c r="D87" s="18" t="s">
        <v>880</v>
      </c>
      <c r="E87" t="s">
        <v>898</v>
      </c>
    </row>
    <row r="88" spans="1:5" x14ac:dyDescent="0.3">
      <c r="A88" s="13" t="s">
        <v>943</v>
      </c>
      <c r="B88" s="13" t="s">
        <v>623</v>
      </c>
      <c r="C88" s="12">
        <v>43101</v>
      </c>
      <c r="D88" s="18" t="s">
        <v>880</v>
      </c>
      <c r="E88" t="s">
        <v>889</v>
      </c>
    </row>
    <row r="89" spans="1:5" x14ac:dyDescent="0.3">
      <c r="A89" s="13" t="s">
        <v>638</v>
      </c>
      <c r="B89" s="13" t="s">
        <v>257</v>
      </c>
      <c r="C89" s="12">
        <v>43101</v>
      </c>
      <c r="D89" s="18" t="s">
        <v>882</v>
      </c>
    </row>
    <row r="90" spans="1:5" x14ac:dyDescent="0.3">
      <c r="A90" s="13" t="s">
        <v>639</v>
      </c>
      <c r="B90" s="13" t="s">
        <v>257</v>
      </c>
      <c r="C90" s="12">
        <v>43101</v>
      </c>
      <c r="D90" s="18" t="s">
        <v>882</v>
      </c>
    </row>
    <row r="91" spans="1:5" x14ac:dyDescent="0.3">
      <c r="A91" s="13" t="s">
        <v>640</v>
      </c>
      <c r="B91" s="13" t="s">
        <v>257</v>
      </c>
      <c r="C91" s="12">
        <v>43101</v>
      </c>
      <c r="D91" s="18" t="s">
        <v>882</v>
      </c>
    </row>
    <row r="92" spans="1:5" x14ac:dyDescent="0.3">
      <c r="A92" s="13" t="s">
        <v>641</v>
      </c>
      <c r="B92" s="13" t="s">
        <v>257</v>
      </c>
      <c r="C92" s="12">
        <v>43101</v>
      </c>
      <c r="D92" s="18" t="s">
        <v>882</v>
      </c>
    </row>
    <row r="93" spans="1:5" x14ac:dyDescent="0.3">
      <c r="A93" s="13" t="s">
        <v>201</v>
      </c>
      <c r="B93" s="13" t="s">
        <v>257</v>
      </c>
      <c r="C93" s="12">
        <v>43101</v>
      </c>
      <c r="D93" s="18" t="s">
        <v>882</v>
      </c>
    </row>
    <row r="94" spans="1:5" x14ac:dyDescent="0.3">
      <c r="A94" s="13" t="s">
        <v>642</v>
      </c>
      <c r="B94" s="13" t="s">
        <v>643</v>
      </c>
      <c r="C94" s="12">
        <v>43466</v>
      </c>
      <c r="D94" s="18" t="s">
        <v>883</v>
      </c>
    </row>
    <row r="95" spans="1:5" x14ac:dyDescent="0.3">
      <c r="A95" s="13" t="s">
        <v>644</v>
      </c>
      <c r="B95" s="13" t="s">
        <v>645</v>
      </c>
      <c r="C95" s="12">
        <v>43469</v>
      </c>
      <c r="D95" s="18" t="s">
        <v>880</v>
      </c>
      <c r="E95" t="s">
        <v>899</v>
      </c>
    </row>
    <row r="96" spans="1:5" x14ac:dyDescent="0.3">
      <c r="A96" s="13" t="s">
        <v>646</v>
      </c>
      <c r="B96" s="13" t="s">
        <v>647</v>
      </c>
      <c r="C96" s="12">
        <v>43470</v>
      </c>
      <c r="D96" s="18" t="s">
        <v>880</v>
      </c>
      <c r="E96" t="s">
        <v>895</v>
      </c>
    </row>
    <row r="97" spans="1:5" x14ac:dyDescent="0.3">
      <c r="A97" s="13" t="s">
        <v>648</v>
      </c>
      <c r="B97" s="13" t="s">
        <v>246</v>
      </c>
      <c r="C97" s="12">
        <v>43478</v>
      </c>
      <c r="D97" s="18" t="s">
        <v>884</v>
      </c>
    </row>
    <row r="98" spans="1:5" x14ac:dyDescent="0.3">
      <c r="A98" s="13" t="s">
        <v>511</v>
      </c>
      <c r="B98" s="13" t="s">
        <v>380</v>
      </c>
      <c r="C98" s="12">
        <v>43491</v>
      </c>
      <c r="D98" s="18" t="s">
        <v>886</v>
      </c>
      <c r="E98" t="s">
        <v>900</v>
      </c>
    </row>
    <row r="99" spans="1:5" x14ac:dyDescent="0.3">
      <c r="A99" s="13" t="s">
        <v>649</v>
      </c>
      <c r="B99" s="13" t="s">
        <v>380</v>
      </c>
      <c r="C99" s="12">
        <v>43493</v>
      </c>
      <c r="D99" s="18" t="s">
        <v>886</v>
      </c>
      <c r="E99" t="s">
        <v>900</v>
      </c>
    </row>
    <row r="100" spans="1:5" x14ac:dyDescent="0.3">
      <c r="A100" s="13" t="s">
        <v>650</v>
      </c>
      <c r="B100" s="13" t="s">
        <v>380</v>
      </c>
      <c r="C100" s="12">
        <v>43498</v>
      </c>
      <c r="D100" s="18" t="s">
        <v>886</v>
      </c>
      <c r="E100" t="s">
        <v>900</v>
      </c>
    </row>
    <row r="101" spans="1:5" x14ac:dyDescent="0.3">
      <c r="A101" s="13" t="s">
        <v>651</v>
      </c>
      <c r="B101" s="13" t="s">
        <v>652</v>
      </c>
      <c r="C101" s="12">
        <v>43503</v>
      </c>
      <c r="D101" s="18" t="s">
        <v>880</v>
      </c>
      <c r="E101" t="s">
        <v>895</v>
      </c>
    </row>
    <row r="102" spans="1:5" x14ac:dyDescent="0.3">
      <c r="A102" s="13" t="s">
        <v>653</v>
      </c>
      <c r="B102" s="13" t="s">
        <v>90</v>
      </c>
      <c r="C102" s="12">
        <v>43555</v>
      </c>
      <c r="D102" s="18" t="s">
        <v>880</v>
      </c>
      <c r="E102" t="s">
        <v>895</v>
      </c>
    </row>
    <row r="103" spans="1:5" x14ac:dyDescent="0.3">
      <c r="A103" s="13" t="s">
        <v>654</v>
      </c>
      <c r="B103" s="13" t="s">
        <v>655</v>
      </c>
      <c r="C103" s="12">
        <v>43562</v>
      </c>
      <c r="D103" s="18" t="s">
        <v>885</v>
      </c>
    </row>
    <row r="104" spans="1:5" x14ac:dyDescent="0.3">
      <c r="A104" s="13" t="s">
        <v>206</v>
      </c>
      <c r="B104" s="13" t="s">
        <v>257</v>
      </c>
      <c r="C104" s="12">
        <v>43576</v>
      </c>
      <c r="D104" s="18" t="s">
        <v>882</v>
      </c>
    </row>
    <row r="105" spans="1:5" x14ac:dyDescent="0.3">
      <c r="A105" s="13" t="s">
        <v>656</v>
      </c>
      <c r="B105" s="13" t="s">
        <v>657</v>
      </c>
      <c r="C105" s="12">
        <v>43591</v>
      </c>
      <c r="D105" s="18" t="s">
        <v>880</v>
      </c>
      <c r="E105" t="s">
        <v>895</v>
      </c>
    </row>
    <row r="106" spans="1:5" x14ac:dyDescent="0.3">
      <c r="A106" s="13" t="s">
        <v>208</v>
      </c>
      <c r="B106" s="13" t="s">
        <v>257</v>
      </c>
      <c r="C106" s="12">
        <v>43596</v>
      </c>
      <c r="D106" s="18" t="s">
        <v>882</v>
      </c>
    </row>
    <row r="107" spans="1:5" x14ac:dyDescent="0.3">
      <c r="A107" s="13" t="s">
        <v>658</v>
      </c>
      <c r="B107" s="13" t="s">
        <v>257</v>
      </c>
      <c r="C107" s="12">
        <v>43598</v>
      </c>
      <c r="D107" s="18" t="s">
        <v>882</v>
      </c>
    </row>
    <row r="108" spans="1:5" x14ac:dyDescent="0.3">
      <c r="A108" s="13" t="s">
        <v>659</v>
      </c>
      <c r="B108" s="13" t="s">
        <v>660</v>
      </c>
      <c r="C108" s="12">
        <v>43634</v>
      </c>
      <c r="D108" s="18" t="s">
        <v>880</v>
      </c>
      <c r="E108" t="s">
        <v>899</v>
      </c>
    </row>
    <row r="109" spans="1:5" x14ac:dyDescent="0.3">
      <c r="A109" s="13" t="s">
        <v>661</v>
      </c>
      <c r="B109" s="13" t="s">
        <v>662</v>
      </c>
      <c r="C109" s="12">
        <v>43668</v>
      </c>
      <c r="D109" s="18" t="s">
        <v>882</v>
      </c>
    </row>
    <row r="110" spans="1:5" x14ac:dyDescent="0.3">
      <c r="A110" s="13" t="s">
        <v>663</v>
      </c>
      <c r="B110" s="13" t="s">
        <v>602</v>
      </c>
      <c r="C110" s="12">
        <v>43671</v>
      </c>
      <c r="D110" s="18" t="s">
        <v>880</v>
      </c>
      <c r="E110" t="s">
        <v>899</v>
      </c>
    </row>
    <row r="111" spans="1:5" x14ac:dyDescent="0.3">
      <c r="A111" s="13" t="s">
        <v>664</v>
      </c>
      <c r="B111" s="13" t="s">
        <v>665</v>
      </c>
      <c r="C111" s="12">
        <v>43686</v>
      </c>
      <c r="D111" s="18" t="s">
        <v>880</v>
      </c>
      <c r="E111" t="s">
        <v>895</v>
      </c>
    </row>
    <row r="112" spans="1:5" x14ac:dyDescent="0.3">
      <c r="A112" s="13" t="s">
        <v>666</v>
      </c>
      <c r="B112" s="13" t="s">
        <v>257</v>
      </c>
      <c r="C112" s="12">
        <v>43770</v>
      </c>
      <c r="D112" s="18" t="s">
        <v>884</v>
      </c>
    </row>
    <row r="113" spans="1:5" x14ac:dyDescent="0.3">
      <c r="A113" s="13" t="s">
        <v>667</v>
      </c>
      <c r="B113" s="13" t="s">
        <v>257</v>
      </c>
      <c r="C113" s="12">
        <v>43777</v>
      </c>
      <c r="D113" s="18" t="s">
        <v>882</v>
      </c>
    </row>
    <row r="114" spans="1:5" x14ac:dyDescent="0.3">
      <c r="A114" s="13" t="s">
        <v>668</v>
      </c>
      <c r="B114" s="13" t="s">
        <v>669</v>
      </c>
      <c r="C114" s="12">
        <v>43818</v>
      </c>
      <c r="D114" s="18" t="s">
        <v>880</v>
      </c>
      <c r="E114" t="s">
        <v>895</v>
      </c>
    </row>
    <row r="115" spans="1:5" x14ac:dyDescent="0.3">
      <c r="A115" s="13" t="s">
        <v>670</v>
      </c>
      <c r="B115" s="13" t="s">
        <v>230</v>
      </c>
      <c r="C115" s="12">
        <v>43854</v>
      </c>
      <c r="D115" s="18" t="s">
        <v>882</v>
      </c>
    </row>
    <row r="116" spans="1:5" x14ac:dyDescent="0.3">
      <c r="A116" s="13" t="s">
        <v>671</v>
      </c>
      <c r="B116" s="13" t="s">
        <v>672</v>
      </c>
      <c r="C116" s="12">
        <v>43860</v>
      </c>
      <c r="D116" s="18" t="s">
        <v>884</v>
      </c>
    </row>
    <row r="117" spans="1:5" x14ac:dyDescent="0.3">
      <c r="A117" s="13" t="s">
        <v>178</v>
      </c>
      <c r="B117" s="13" t="s">
        <v>246</v>
      </c>
      <c r="C117" s="12">
        <v>43884</v>
      </c>
      <c r="D117" s="18" t="s">
        <v>882</v>
      </c>
    </row>
    <row r="118" spans="1:5" x14ac:dyDescent="0.3">
      <c r="A118" s="13" t="s">
        <v>673</v>
      </c>
      <c r="B118" s="13" t="s">
        <v>497</v>
      </c>
      <c r="C118" s="12">
        <v>43927</v>
      </c>
      <c r="D118" s="18" t="s">
        <v>882</v>
      </c>
    </row>
    <row r="119" spans="1:5" x14ac:dyDescent="0.3">
      <c r="A119" s="13" t="s">
        <v>674</v>
      </c>
      <c r="B119" s="13" t="s">
        <v>675</v>
      </c>
      <c r="C119" s="12">
        <v>43927</v>
      </c>
      <c r="D119" s="18" t="s">
        <v>881</v>
      </c>
    </row>
    <row r="120" spans="1:5" x14ac:dyDescent="0.3">
      <c r="A120" s="13" t="s">
        <v>676</v>
      </c>
      <c r="B120" s="13" t="s">
        <v>677</v>
      </c>
      <c r="C120" s="12">
        <v>43929</v>
      </c>
      <c r="D120" s="18" t="s">
        <v>883</v>
      </c>
    </row>
    <row r="121" spans="1:5" x14ac:dyDescent="0.3">
      <c r="A121" s="13" t="s">
        <v>25</v>
      </c>
      <c r="B121" s="13" t="s">
        <v>97</v>
      </c>
      <c r="C121" s="12">
        <v>44037</v>
      </c>
      <c r="D121" s="18" t="s">
        <v>882</v>
      </c>
    </row>
    <row r="122" spans="1:5" x14ac:dyDescent="0.3">
      <c r="A122" s="13" t="s">
        <v>272</v>
      </c>
      <c r="B122" s="13" t="s">
        <v>377</v>
      </c>
      <c r="C122" s="12">
        <v>44052</v>
      </c>
      <c r="D122" s="18" t="s">
        <v>882</v>
      </c>
    </row>
    <row r="123" spans="1:5" x14ac:dyDescent="0.3">
      <c r="A123" s="13" t="s">
        <v>678</v>
      </c>
      <c r="B123" s="13" t="s">
        <v>258</v>
      </c>
      <c r="C123" s="12">
        <v>44055</v>
      </c>
      <c r="D123" s="18" t="s">
        <v>880</v>
      </c>
      <c r="E123" t="s">
        <v>895</v>
      </c>
    </row>
    <row r="124" spans="1:5" x14ac:dyDescent="0.3">
      <c r="A124" s="13" t="s">
        <v>313</v>
      </c>
      <c r="B124" s="13" t="s">
        <v>679</v>
      </c>
      <c r="C124" s="12">
        <v>44177</v>
      </c>
      <c r="D124" s="18" t="s">
        <v>882</v>
      </c>
    </row>
    <row r="125" spans="1:5" x14ac:dyDescent="0.3">
      <c r="A125" s="13" t="s">
        <v>357</v>
      </c>
      <c r="B125" s="13" t="s">
        <v>422</v>
      </c>
      <c r="C125" s="12">
        <v>44193</v>
      </c>
      <c r="D125" s="18" t="s">
        <v>882</v>
      </c>
    </row>
    <row r="126" spans="1:5" x14ac:dyDescent="0.3">
      <c r="A126" s="13" t="s">
        <v>680</v>
      </c>
      <c r="B126" s="13" t="s">
        <v>257</v>
      </c>
      <c r="C126" s="12">
        <v>44196</v>
      </c>
      <c r="D126" s="18" t="s">
        <v>881</v>
      </c>
    </row>
    <row r="127" spans="1:5" x14ac:dyDescent="0.3">
      <c r="A127" s="13" t="s">
        <v>168</v>
      </c>
      <c r="B127" s="13" t="s">
        <v>242</v>
      </c>
      <c r="C127" s="12">
        <v>44202</v>
      </c>
      <c r="D127" s="18" t="s">
        <v>882</v>
      </c>
    </row>
    <row r="128" spans="1:5" x14ac:dyDescent="0.3">
      <c r="A128" s="13" t="s">
        <v>277</v>
      </c>
      <c r="B128" s="13" t="s">
        <v>379</v>
      </c>
      <c r="C128" s="12">
        <v>44222</v>
      </c>
      <c r="D128" s="18" t="s">
        <v>882</v>
      </c>
    </row>
    <row r="129" spans="1:5" x14ac:dyDescent="0.3">
      <c r="A129" s="13" t="s">
        <v>887</v>
      </c>
      <c r="B129" s="13" t="s">
        <v>405</v>
      </c>
      <c r="C129" s="12">
        <v>44328</v>
      </c>
      <c r="D129" s="18" t="s">
        <v>882</v>
      </c>
    </row>
    <row r="130" spans="1:5" x14ac:dyDescent="0.3">
      <c r="A130" s="13" t="s">
        <v>681</v>
      </c>
      <c r="B130" s="13" t="s">
        <v>258</v>
      </c>
      <c r="C130" s="12">
        <v>44341</v>
      </c>
      <c r="D130" s="18" t="s">
        <v>882</v>
      </c>
    </row>
    <row r="131" spans="1:5" x14ac:dyDescent="0.3">
      <c r="A131" s="13" t="s">
        <v>682</v>
      </c>
      <c r="B131" s="13" t="s">
        <v>683</v>
      </c>
      <c r="C131" s="12">
        <v>44344</v>
      </c>
      <c r="D131" s="18" t="s">
        <v>882</v>
      </c>
    </row>
    <row r="132" spans="1:5" x14ac:dyDescent="0.3">
      <c r="A132" s="13" t="s">
        <v>684</v>
      </c>
      <c r="B132" s="13" t="s">
        <v>683</v>
      </c>
      <c r="C132" s="12">
        <v>44344</v>
      </c>
      <c r="D132" s="18" t="s">
        <v>882</v>
      </c>
    </row>
    <row r="133" spans="1:5" x14ac:dyDescent="0.3">
      <c r="A133" s="13" t="s">
        <v>685</v>
      </c>
      <c r="B133" s="13" t="s">
        <v>683</v>
      </c>
      <c r="C133" s="12">
        <v>44344</v>
      </c>
      <c r="D133" s="18" t="s">
        <v>882</v>
      </c>
    </row>
    <row r="134" spans="1:5" x14ac:dyDescent="0.3">
      <c r="A134" s="13" t="s">
        <v>686</v>
      </c>
      <c r="B134" s="13" t="s">
        <v>683</v>
      </c>
      <c r="C134" s="12">
        <v>44344</v>
      </c>
      <c r="D134" s="18" t="s">
        <v>882</v>
      </c>
    </row>
    <row r="135" spans="1:5" x14ac:dyDescent="0.3">
      <c r="A135" s="13" t="s">
        <v>687</v>
      </c>
      <c r="B135" s="13" t="s">
        <v>683</v>
      </c>
      <c r="C135" s="12">
        <v>44344</v>
      </c>
      <c r="D135" s="18" t="s">
        <v>882</v>
      </c>
    </row>
    <row r="136" spans="1:5" x14ac:dyDescent="0.3">
      <c r="A136" s="13" t="s">
        <v>688</v>
      </c>
      <c r="B136" s="13" t="s">
        <v>405</v>
      </c>
      <c r="C136" s="12">
        <v>44345</v>
      </c>
      <c r="D136" s="18" t="s">
        <v>882</v>
      </c>
    </row>
    <row r="137" spans="1:5" x14ac:dyDescent="0.3">
      <c r="A137" s="13" t="s">
        <v>689</v>
      </c>
      <c r="B137" s="13" t="s">
        <v>623</v>
      </c>
      <c r="C137" s="12">
        <v>44356</v>
      </c>
      <c r="D137" s="18" t="s">
        <v>880</v>
      </c>
      <c r="E137" t="s">
        <v>889</v>
      </c>
    </row>
    <row r="138" spans="1:5" x14ac:dyDescent="0.3">
      <c r="A138" s="13" t="s">
        <v>690</v>
      </c>
      <c r="B138" s="13" t="s">
        <v>228</v>
      </c>
      <c r="C138" s="12">
        <v>44367</v>
      </c>
      <c r="D138" s="18" t="s">
        <v>882</v>
      </c>
    </row>
    <row r="139" spans="1:5" x14ac:dyDescent="0.3">
      <c r="A139" s="13" t="s">
        <v>691</v>
      </c>
      <c r="B139" s="13" t="s">
        <v>260</v>
      </c>
      <c r="C139" s="12">
        <v>44374</v>
      </c>
      <c r="D139" s="18" t="s">
        <v>886</v>
      </c>
      <c r="E139" t="s">
        <v>901</v>
      </c>
    </row>
    <row r="140" spans="1:5" x14ac:dyDescent="0.3">
      <c r="A140" s="13" t="s">
        <v>692</v>
      </c>
      <c r="B140" s="13" t="s">
        <v>693</v>
      </c>
      <c r="C140" s="12">
        <v>44375</v>
      </c>
      <c r="D140" s="18" t="s">
        <v>886</v>
      </c>
      <c r="E140" t="s">
        <v>901</v>
      </c>
    </row>
    <row r="141" spans="1:5" x14ac:dyDescent="0.3">
      <c r="A141" s="13" t="s">
        <v>694</v>
      </c>
      <c r="B141" s="13" t="s">
        <v>238</v>
      </c>
      <c r="C141" s="12">
        <v>44381</v>
      </c>
      <c r="D141" s="18" t="s">
        <v>882</v>
      </c>
    </row>
    <row r="142" spans="1:5" x14ac:dyDescent="0.3">
      <c r="A142" s="13" t="s">
        <v>695</v>
      </c>
      <c r="B142" s="13" t="s">
        <v>696</v>
      </c>
      <c r="C142" s="12">
        <v>44384</v>
      </c>
      <c r="D142" s="18" t="s">
        <v>886</v>
      </c>
      <c r="E142" t="s">
        <v>901</v>
      </c>
    </row>
    <row r="143" spans="1:5" x14ac:dyDescent="0.3">
      <c r="A143" s="13" t="s">
        <v>697</v>
      </c>
      <c r="B143" s="13" t="s">
        <v>260</v>
      </c>
      <c r="C143" s="12">
        <v>44394</v>
      </c>
      <c r="D143" s="18" t="s">
        <v>886</v>
      </c>
      <c r="E143" t="s">
        <v>901</v>
      </c>
    </row>
    <row r="144" spans="1:5" x14ac:dyDescent="0.3">
      <c r="A144" s="13" t="s">
        <v>698</v>
      </c>
      <c r="B144" s="13" t="s">
        <v>699</v>
      </c>
      <c r="C144" s="12">
        <v>44428</v>
      </c>
      <c r="D144" s="18" t="s">
        <v>886</v>
      </c>
      <c r="E144" t="s">
        <v>901</v>
      </c>
    </row>
    <row r="145" spans="1:5" x14ac:dyDescent="0.3">
      <c r="A145" s="13" t="s">
        <v>700</v>
      </c>
      <c r="B145" s="13" t="s">
        <v>113</v>
      </c>
      <c r="C145" s="12">
        <v>44442</v>
      </c>
      <c r="D145" s="18" t="s">
        <v>882</v>
      </c>
    </row>
    <row r="146" spans="1:5" x14ac:dyDescent="0.3">
      <c r="A146" s="13" t="s">
        <v>701</v>
      </c>
      <c r="B146" s="13" t="s">
        <v>82</v>
      </c>
      <c r="C146" s="12">
        <v>44444</v>
      </c>
      <c r="D146" s="18" t="s">
        <v>882</v>
      </c>
    </row>
    <row r="147" spans="1:5" x14ac:dyDescent="0.3">
      <c r="A147" s="13" t="s">
        <v>702</v>
      </c>
      <c r="B147" s="13" t="s">
        <v>703</v>
      </c>
      <c r="C147" s="12">
        <v>44452</v>
      </c>
      <c r="D147" s="18" t="s">
        <v>885</v>
      </c>
    </row>
    <row r="148" spans="1:5" x14ac:dyDescent="0.3">
      <c r="A148" s="13" t="s">
        <v>704</v>
      </c>
      <c r="B148" s="13" t="s">
        <v>96</v>
      </c>
      <c r="C148" s="12">
        <v>44468</v>
      </c>
      <c r="D148" s="18" t="s">
        <v>886</v>
      </c>
      <c r="E148" t="s">
        <v>902</v>
      </c>
    </row>
    <row r="149" spans="1:5" x14ac:dyDescent="0.3">
      <c r="A149" s="13" t="s">
        <v>705</v>
      </c>
      <c r="B149" s="13" t="s">
        <v>96</v>
      </c>
      <c r="C149" s="12">
        <v>44468</v>
      </c>
      <c r="D149" s="18" t="s">
        <v>886</v>
      </c>
      <c r="E149" t="s">
        <v>902</v>
      </c>
    </row>
    <row r="150" spans="1:5" x14ac:dyDescent="0.3">
      <c r="A150" s="13" t="s">
        <v>706</v>
      </c>
      <c r="B150" s="13" t="s">
        <v>707</v>
      </c>
      <c r="C150" s="12">
        <v>44473</v>
      </c>
      <c r="D150" s="18" t="s">
        <v>880</v>
      </c>
      <c r="E150" t="s">
        <v>903</v>
      </c>
    </row>
    <row r="151" spans="1:5" x14ac:dyDescent="0.3">
      <c r="A151" s="13" t="s">
        <v>708</v>
      </c>
      <c r="B151" s="13" t="s">
        <v>709</v>
      </c>
      <c r="C151" s="12">
        <v>44473</v>
      </c>
      <c r="D151" s="18" t="s">
        <v>880</v>
      </c>
      <c r="E151" t="s">
        <v>903</v>
      </c>
    </row>
    <row r="152" spans="1:5" x14ac:dyDescent="0.3">
      <c r="A152" s="13" t="s">
        <v>710</v>
      </c>
      <c r="B152" s="13" t="s">
        <v>709</v>
      </c>
      <c r="C152" s="12">
        <v>44474</v>
      </c>
      <c r="D152" s="18" t="s">
        <v>880</v>
      </c>
      <c r="E152" t="s">
        <v>903</v>
      </c>
    </row>
    <row r="153" spans="1:5" x14ac:dyDescent="0.3">
      <c r="A153" s="13" t="s">
        <v>711</v>
      </c>
      <c r="B153" s="13" t="s">
        <v>712</v>
      </c>
      <c r="C153" s="12">
        <v>44474</v>
      </c>
      <c r="D153" s="18" t="s">
        <v>880</v>
      </c>
      <c r="E153" t="s">
        <v>903</v>
      </c>
    </row>
    <row r="154" spans="1:5" x14ac:dyDescent="0.3">
      <c r="A154" s="13" t="s">
        <v>713</v>
      </c>
      <c r="B154" s="13" t="s">
        <v>249</v>
      </c>
      <c r="C154" s="12">
        <v>44475</v>
      </c>
      <c r="D154" s="18" t="s">
        <v>886</v>
      </c>
      <c r="E154" t="s">
        <v>902</v>
      </c>
    </row>
    <row r="155" spans="1:5" x14ac:dyDescent="0.3">
      <c r="A155" s="13" t="s">
        <v>714</v>
      </c>
      <c r="B155" s="13" t="s">
        <v>384</v>
      </c>
      <c r="C155" s="12">
        <v>44479</v>
      </c>
      <c r="D155" s="18" t="s">
        <v>882</v>
      </c>
    </row>
    <row r="156" spans="1:5" x14ac:dyDescent="0.3">
      <c r="A156" s="13" t="s">
        <v>715</v>
      </c>
      <c r="B156" s="13" t="s">
        <v>260</v>
      </c>
      <c r="C156" s="12">
        <v>44488</v>
      </c>
      <c r="D156" s="18" t="s">
        <v>886</v>
      </c>
      <c r="E156" t="s">
        <v>901</v>
      </c>
    </row>
    <row r="157" spans="1:5" x14ac:dyDescent="0.3">
      <c r="A157" s="13" t="s">
        <v>716</v>
      </c>
      <c r="B157" s="13" t="s">
        <v>96</v>
      </c>
      <c r="C157" s="12">
        <v>44511</v>
      </c>
      <c r="D157" s="18" t="s">
        <v>886</v>
      </c>
      <c r="E157" t="s">
        <v>902</v>
      </c>
    </row>
    <row r="158" spans="1:5" x14ac:dyDescent="0.3">
      <c r="A158" s="13" t="s">
        <v>717</v>
      </c>
      <c r="B158" s="13" t="s">
        <v>229</v>
      </c>
      <c r="C158" s="12">
        <v>44515</v>
      </c>
      <c r="D158" s="18" t="s">
        <v>882</v>
      </c>
    </row>
    <row r="159" spans="1:5" x14ac:dyDescent="0.3">
      <c r="A159" s="13" t="s">
        <v>718</v>
      </c>
      <c r="B159" s="13" t="s">
        <v>719</v>
      </c>
      <c r="C159" s="12">
        <v>44520</v>
      </c>
      <c r="D159" s="18" t="s">
        <v>886</v>
      </c>
      <c r="E159" t="s">
        <v>900</v>
      </c>
    </row>
    <row r="160" spans="1:5" x14ac:dyDescent="0.3">
      <c r="A160" s="13" t="s">
        <v>720</v>
      </c>
      <c r="B160" s="13" t="s">
        <v>602</v>
      </c>
      <c r="C160" s="12">
        <v>44521</v>
      </c>
      <c r="D160" s="18" t="s">
        <v>880</v>
      </c>
      <c r="E160" t="s">
        <v>895</v>
      </c>
    </row>
    <row r="161" spans="1:5" x14ac:dyDescent="0.3">
      <c r="A161" s="13" t="s">
        <v>721</v>
      </c>
      <c r="B161" s="13" t="s">
        <v>722</v>
      </c>
      <c r="C161" s="12">
        <v>44544</v>
      </c>
      <c r="D161" s="18" t="s">
        <v>886</v>
      </c>
      <c r="E161" t="s">
        <v>901</v>
      </c>
    </row>
    <row r="162" spans="1:5" x14ac:dyDescent="0.3">
      <c r="A162" s="13" t="s">
        <v>723</v>
      </c>
      <c r="B162" s="13" t="s">
        <v>260</v>
      </c>
      <c r="C162" s="12">
        <v>44562</v>
      </c>
      <c r="D162" s="18" t="s">
        <v>886</v>
      </c>
      <c r="E162" t="s">
        <v>901</v>
      </c>
    </row>
    <row r="163" spans="1:5" x14ac:dyDescent="0.3">
      <c r="A163" s="13" t="s">
        <v>724</v>
      </c>
      <c r="B163" s="13" t="s">
        <v>725</v>
      </c>
      <c r="C163" s="12">
        <v>44562</v>
      </c>
      <c r="D163" s="18" t="s">
        <v>886</v>
      </c>
      <c r="E163" t="s">
        <v>901</v>
      </c>
    </row>
    <row r="164" spans="1:5" x14ac:dyDescent="0.3">
      <c r="A164" s="13" t="s">
        <v>726</v>
      </c>
      <c r="B164" s="13" t="s">
        <v>727</v>
      </c>
      <c r="C164" s="12">
        <v>44562</v>
      </c>
      <c r="D164" s="18" t="s">
        <v>886</v>
      </c>
      <c r="E164" t="s">
        <v>901</v>
      </c>
    </row>
    <row r="165" spans="1:5" x14ac:dyDescent="0.3">
      <c r="A165" s="13" t="s">
        <v>728</v>
      </c>
      <c r="B165" s="13" t="s">
        <v>729</v>
      </c>
      <c r="C165" s="12">
        <v>44568</v>
      </c>
      <c r="D165" s="18" t="s">
        <v>886</v>
      </c>
      <c r="E165" t="s">
        <v>904</v>
      </c>
    </row>
    <row r="166" spans="1:5" x14ac:dyDescent="0.3">
      <c r="A166" s="13" t="s">
        <v>730</v>
      </c>
      <c r="B166" s="13" t="s">
        <v>731</v>
      </c>
      <c r="C166" s="12">
        <v>44569</v>
      </c>
      <c r="D166" s="18" t="s">
        <v>886</v>
      </c>
      <c r="E166" t="s">
        <v>901</v>
      </c>
    </row>
    <row r="167" spans="1:5" x14ac:dyDescent="0.3">
      <c r="A167" s="13" t="s">
        <v>732</v>
      </c>
      <c r="B167" s="13" t="s">
        <v>733</v>
      </c>
      <c r="C167" s="12">
        <v>44575</v>
      </c>
      <c r="D167" s="18" t="s">
        <v>886</v>
      </c>
      <c r="E167" t="s">
        <v>901</v>
      </c>
    </row>
    <row r="168" spans="1:5" x14ac:dyDescent="0.3">
      <c r="A168" s="11" t="s">
        <v>342</v>
      </c>
      <c r="B168" s="11" t="s">
        <v>90</v>
      </c>
      <c r="C168" s="12">
        <v>44590</v>
      </c>
      <c r="D168" s="18" t="s">
        <v>882</v>
      </c>
    </row>
    <row r="169" spans="1:5" x14ac:dyDescent="0.3">
      <c r="A169" s="11" t="s">
        <v>343</v>
      </c>
      <c r="B169" s="11" t="s">
        <v>90</v>
      </c>
      <c r="C169" s="12">
        <v>44590</v>
      </c>
      <c r="D169" s="18" t="s">
        <v>882</v>
      </c>
    </row>
    <row r="170" spans="1:5" x14ac:dyDescent="0.3">
      <c r="A170" s="11" t="s">
        <v>344</v>
      </c>
      <c r="B170" s="11" t="s">
        <v>90</v>
      </c>
      <c r="C170" s="12">
        <v>44590</v>
      </c>
      <c r="D170" s="18" t="s">
        <v>882</v>
      </c>
    </row>
    <row r="171" spans="1:5" x14ac:dyDescent="0.3">
      <c r="A171" s="11" t="s">
        <v>345</v>
      </c>
      <c r="B171" s="11" t="s">
        <v>90</v>
      </c>
      <c r="C171" s="12">
        <v>44590</v>
      </c>
      <c r="D171" s="18" t="s">
        <v>882</v>
      </c>
    </row>
    <row r="172" spans="1:5" x14ac:dyDescent="0.3">
      <c r="A172" s="11" t="s">
        <v>346</v>
      </c>
      <c r="B172" s="11" t="s">
        <v>90</v>
      </c>
      <c r="C172" s="12">
        <v>44590</v>
      </c>
      <c r="D172" s="18" t="s">
        <v>882</v>
      </c>
    </row>
    <row r="173" spans="1:5" x14ac:dyDescent="0.3">
      <c r="A173" s="13" t="s">
        <v>734</v>
      </c>
      <c r="B173" s="13" t="s">
        <v>735</v>
      </c>
      <c r="C173" s="12">
        <v>44592</v>
      </c>
      <c r="D173" s="18" t="s">
        <v>885</v>
      </c>
    </row>
    <row r="174" spans="1:5" x14ac:dyDescent="0.3">
      <c r="A174" s="13" t="s">
        <v>736</v>
      </c>
      <c r="B174" s="13" t="s">
        <v>737</v>
      </c>
      <c r="C174" s="12">
        <v>44592</v>
      </c>
      <c r="D174" s="18" t="s">
        <v>886</v>
      </c>
      <c r="E174" t="s">
        <v>901</v>
      </c>
    </row>
    <row r="175" spans="1:5" x14ac:dyDescent="0.3">
      <c r="A175" s="13" t="s">
        <v>738</v>
      </c>
      <c r="B175" s="13" t="s">
        <v>739</v>
      </c>
      <c r="C175" s="12">
        <v>44605</v>
      </c>
      <c r="D175" s="18" t="s">
        <v>885</v>
      </c>
    </row>
    <row r="176" spans="1:5" x14ac:dyDescent="0.3">
      <c r="A176" s="13" t="s">
        <v>740</v>
      </c>
      <c r="B176" s="13" t="s">
        <v>741</v>
      </c>
      <c r="C176" s="12">
        <v>44621</v>
      </c>
      <c r="D176" s="18" t="s">
        <v>886</v>
      </c>
      <c r="E176" t="s">
        <v>904</v>
      </c>
    </row>
    <row r="177" spans="1:5" x14ac:dyDescent="0.3">
      <c r="A177" s="13" t="s">
        <v>310</v>
      </c>
      <c r="B177" s="13" t="s">
        <v>397</v>
      </c>
      <c r="C177" s="12">
        <v>44763</v>
      </c>
      <c r="D177" s="18" t="s">
        <v>882</v>
      </c>
    </row>
    <row r="178" spans="1:5" x14ac:dyDescent="0.3">
      <c r="A178" s="11" t="s">
        <v>742</v>
      </c>
      <c r="B178" s="11" t="s">
        <v>90</v>
      </c>
      <c r="C178" s="12">
        <v>44773</v>
      </c>
      <c r="D178" s="18" t="s">
        <v>882</v>
      </c>
    </row>
    <row r="179" spans="1:5" x14ac:dyDescent="0.3">
      <c r="A179" s="11" t="s">
        <v>743</v>
      </c>
      <c r="B179" s="11" t="s">
        <v>90</v>
      </c>
      <c r="C179" s="12">
        <v>44864</v>
      </c>
      <c r="D179" s="18" t="s">
        <v>882</v>
      </c>
    </row>
    <row r="180" spans="1:5" x14ac:dyDescent="0.3">
      <c r="A180" s="11" t="s">
        <v>744</v>
      </c>
      <c r="B180" s="11" t="s">
        <v>90</v>
      </c>
      <c r="C180" s="12">
        <v>44864</v>
      </c>
      <c r="D180" s="18" t="s">
        <v>882</v>
      </c>
    </row>
    <row r="181" spans="1:5" x14ac:dyDescent="0.3">
      <c r="A181" s="13" t="s">
        <v>745</v>
      </c>
      <c r="B181" s="13" t="s">
        <v>746</v>
      </c>
      <c r="C181" s="12">
        <v>44868</v>
      </c>
      <c r="D181" s="18" t="s">
        <v>885</v>
      </c>
    </row>
    <row r="182" spans="1:5" x14ac:dyDescent="0.3">
      <c r="A182" s="13" t="s">
        <v>747</v>
      </c>
      <c r="B182" s="13" t="s">
        <v>748</v>
      </c>
      <c r="C182" s="12">
        <v>44939</v>
      </c>
      <c r="D182" s="18" t="s">
        <v>882</v>
      </c>
    </row>
    <row r="183" spans="1:5" x14ac:dyDescent="0.3">
      <c r="A183" s="13" t="s">
        <v>749</v>
      </c>
      <c r="B183" s="13" t="s">
        <v>258</v>
      </c>
      <c r="C183" s="12">
        <v>45033</v>
      </c>
      <c r="D183" s="18" t="s">
        <v>882</v>
      </c>
    </row>
    <row r="184" spans="1:5" x14ac:dyDescent="0.3">
      <c r="A184" s="13" t="s">
        <v>750</v>
      </c>
      <c r="B184" s="13" t="s">
        <v>751</v>
      </c>
      <c r="C184" s="12">
        <v>45070</v>
      </c>
      <c r="D184" s="18" t="s">
        <v>886</v>
      </c>
      <c r="E184" t="s">
        <v>905</v>
      </c>
    </row>
    <row r="185" spans="1:5" x14ac:dyDescent="0.3">
      <c r="A185" s="13" t="s">
        <v>22</v>
      </c>
      <c r="B185" s="13" t="s">
        <v>96</v>
      </c>
      <c r="C185" s="10">
        <v>45077</v>
      </c>
      <c r="D185" s="18" t="s">
        <v>882</v>
      </c>
    </row>
    <row r="186" spans="1:5" x14ac:dyDescent="0.3">
      <c r="A186" s="13" t="s">
        <v>752</v>
      </c>
      <c r="B186" s="13" t="s">
        <v>753</v>
      </c>
      <c r="C186" s="12">
        <v>45108</v>
      </c>
      <c r="D186" s="18" t="s">
        <v>885</v>
      </c>
    </row>
    <row r="187" spans="1:5" x14ac:dyDescent="0.3">
      <c r="A187" s="13" t="s">
        <v>754</v>
      </c>
      <c r="B187" s="13" t="s">
        <v>755</v>
      </c>
      <c r="C187" s="12">
        <v>45108</v>
      </c>
      <c r="D187" s="18" t="s">
        <v>882</v>
      </c>
    </row>
    <row r="188" spans="1:5" x14ac:dyDescent="0.3">
      <c r="A188" s="13" t="s">
        <v>756</v>
      </c>
      <c r="B188" s="13" t="s">
        <v>757</v>
      </c>
      <c r="C188" s="12">
        <v>45108</v>
      </c>
      <c r="D188" s="18" t="s">
        <v>885</v>
      </c>
    </row>
    <row r="189" spans="1:5" x14ac:dyDescent="0.3">
      <c r="A189" s="13" t="s">
        <v>758</v>
      </c>
      <c r="B189" s="13" t="s">
        <v>404</v>
      </c>
      <c r="C189" s="12">
        <v>45108</v>
      </c>
      <c r="D189" s="18" t="s">
        <v>882</v>
      </c>
    </row>
    <row r="190" spans="1:5" x14ac:dyDescent="0.3">
      <c r="A190" s="13" t="s">
        <v>333</v>
      </c>
      <c r="B190" s="13" t="s">
        <v>759</v>
      </c>
      <c r="C190" s="12">
        <v>45108</v>
      </c>
      <c r="D190" s="18" t="s">
        <v>882</v>
      </c>
    </row>
    <row r="191" spans="1:5" x14ac:dyDescent="0.3">
      <c r="A191" s="13" t="s">
        <v>760</v>
      </c>
      <c r="B191" s="13" t="s">
        <v>761</v>
      </c>
      <c r="C191" s="12">
        <v>45108</v>
      </c>
      <c r="D191" s="18" t="s">
        <v>885</v>
      </c>
    </row>
    <row r="192" spans="1:5" x14ac:dyDescent="0.3">
      <c r="A192" s="13" t="s">
        <v>762</v>
      </c>
      <c r="B192" s="13" t="s">
        <v>412</v>
      </c>
      <c r="C192" s="12">
        <v>45108</v>
      </c>
      <c r="D192" s="18" t="s">
        <v>882</v>
      </c>
    </row>
    <row r="193" spans="1:5" x14ac:dyDescent="0.3">
      <c r="A193" s="13" t="s">
        <v>763</v>
      </c>
      <c r="B193" s="13" t="s">
        <v>764</v>
      </c>
      <c r="C193" s="12">
        <v>45108</v>
      </c>
      <c r="D193" s="18" t="s">
        <v>885</v>
      </c>
    </row>
    <row r="194" spans="1:5" x14ac:dyDescent="0.3">
      <c r="A194" s="13" t="s">
        <v>765</v>
      </c>
      <c r="B194" s="13" t="s">
        <v>766</v>
      </c>
      <c r="C194" s="12">
        <v>45292</v>
      </c>
      <c r="D194" s="18" t="s">
        <v>886</v>
      </c>
      <c r="E194" t="s">
        <v>901</v>
      </c>
    </row>
    <row r="195" spans="1:5" x14ac:dyDescent="0.3">
      <c r="A195" s="13" t="s">
        <v>768</v>
      </c>
      <c r="B195" s="13" t="s">
        <v>767</v>
      </c>
      <c r="C195" s="12">
        <v>45292</v>
      </c>
      <c r="D195" s="18" t="s">
        <v>886</v>
      </c>
      <c r="E195" t="s">
        <v>901</v>
      </c>
    </row>
    <row r="196" spans="1:5" x14ac:dyDescent="0.3">
      <c r="A196" s="13" t="s">
        <v>769</v>
      </c>
      <c r="B196" s="13" t="s">
        <v>770</v>
      </c>
      <c r="C196" s="12">
        <v>45292</v>
      </c>
      <c r="D196" s="18" t="s">
        <v>886</v>
      </c>
      <c r="E196" t="s">
        <v>901</v>
      </c>
    </row>
    <row r="197" spans="1:5" x14ac:dyDescent="0.3">
      <c r="A197" s="13" t="s">
        <v>771</v>
      </c>
      <c r="B197" s="13" t="s">
        <v>772</v>
      </c>
      <c r="C197" s="12">
        <v>45322</v>
      </c>
      <c r="D197" s="18" t="s">
        <v>886</v>
      </c>
      <c r="E197" t="s">
        <v>906</v>
      </c>
    </row>
    <row r="198" spans="1:5" x14ac:dyDescent="0.3">
      <c r="A198" s="13" t="s">
        <v>773</v>
      </c>
      <c r="B198" s="13" t="s">
        <v>113</v>
      </c>
      <c r="C198" s="12">
        <v>45334</v>
      </c>
      <c r="D198" s="18" t="s">
        <v>880</v>
      </c>
      <c r="E198" t="s">
        <v>907</v>
      </c>
    </row>
    <row r="199" spans="1:5" x14ac:dyDescent="0.3">
      <c r="A199" s="13" t="s">
        <v>774</v>
      </c>
      <c r="B199" s="13" t="s">
        <v>113</v>
      </c>
      <c r="C199" s="12">
        <v>45335</v>
      </c>
      <c r="D199" s="18" t="s">
        <v>880</v>
      </c>
      <c r="E199" t="s">
        <v>907</v>
      </c>
    </row>
    <row r="200" spans="1:5" x14ac:dyDescent="0.3">
      <c r="A200" s="13" t="s">
        <v>331</v>
      </c>
      <c r="B200" s="13" t="s">
        <v>387</v>
      </c>
      <c r="C200" s="12">
        <v>45528</v>
      </c>
      <c r="D200" s="18" t="s">
        <v>882</v>
      </c>
    </row>
    <row r="201" spans="1:5" x14ac:dyDescent="0.3">
      <c r="A201" s="13" t="s">
        <v>775</v>
      </c>
      <c r="B201" s="13" t="s">
        <v>776</v>
      </c>
      <c r="C201" s="12">
        <v>45586</v>
      </c>
      <c r="D201" s="18" t="s">
        <v>880</v>
      </c>
      <c r="E201" t="s">
        <v>907</v>
      </c>
    </row>
    <row r="202" spans="1:5" x14ac:dyDescent="0.3">
      <c r="A202" s="13" t="s">
        <v>777</v>
      </c>
      <c r="B202" s="13" t="s">
        <v>778</v>
      </c>
      <c r="C202" s="12">
        <v>45593</v>
      </c>
      <c r="D202" s="18" t="s">
        <v>881</v>
      </c>
    </row>
    <row r="203" spans="1:5" x14ac:dyDescent="0.3">
      <c r="A203" s="13" t="s">
        <v>144</v>
      </c>
      <c r="B203" s="13" t="s">
        <v>232</v>
      </c>
      <c r="C203" s="12">
        <v>45596</v>
      </c>
      <c r="D203" s="18" t="s">
        <v>882</v>
      </c>
    </row>
    <row r="204" spans="1:5" x14ac:dyDescent="0.3">
      <c r="A204" s="11" t="s">
        <v>779</v>
      </c>
      <c r="B204" s="13" t="s">
        <v>602</v>
      </c>
      <c r="C204" s="12">
        <v>45613</v>
      </c>
      <c r="D204" s="18" t="s">
        <v>880</v>
      </c>
      <c r="E204" t="s">
        <v>895</v>
      </c>
    </row>
    <row r="205" spans="1:5" x14ac:dyDescent="0.3">
      <c r="A205" s="13" t="s">
        <v>780</v>
      </c>
      <c r="B205" s="13" t="s">
        <v>602</v>
      </c>
      <c r="C205" s="12">
        <v>45613</v>
      </c>
      <c r="D205" s="18" t="s">
        <v>880</v>
      </c>
      <c r="E205" t="s">
        <v>895</v>
      </c>
    </row>
    <row r="206" spans="1:5" x14ac:dyDescent="0.3">
      <c r="A206" t="s">
        <v>298</v>
      </c>
      <c r="B206" s="3" t="s">
        <v>238</v>
      </c>
      <c r="C206" s="10">
        <v>45617</v>
      </c>
      <c r="D206" s="18" t="s">
        <v>882</v>
      </c>
    </row>
    <row r="207" spans="1:5" x14ac:dyDescent="0.3">
      <c r="A207" s="13" t="s">
        <v>781</v>
      </c>
      <c r="B207" s="13" t="s">
        <v>782</v>
      </c>
      <c r="C207" s="12">
        <v>45623</v>
      </c>
      <c r="D207" s="18" t="s">
        <v>886</v>
      </c>
      <c r="E207" t="s">
        <v>906</v>
      </c>
    </row>
    <row r="208" spans="1:5" x14ac:dyDescent="0.3">
      <c r="A208" s="13" t="s">
        <v>783</v>
      </c>
      <c r="B208" s="13" t="s">
        <v>260</v>
      </c>
      <c r="C208" s="12">
        <v>45629</v>
      </c>
      <c r="D208" s="18" t="s">
        <v>886</v>
      </c>
      <c r="E208" t="s">
        <v>901</v>
      </c>
    </row>
    <row r="209" spans="1:5" x14ac:dyDescent="0.3">
      <c r="A209" s="13" t="s">
        <v>784</v>
      </c>
      <c r="B209" s="13" t="s">
        <v>785</v>
      </c>
      <c r="C209" s="12">
        <v>45638</v>
      </c>
      <c r="D209" s="18" t="s">
        <v>886</v>
      </c>
      <c r="E209" t="s">
        <v>906</v>
      </c>
    </row>
    <row r="210" spans="1:5" x14ac:dyDescent="0.3">
      <c r="A210" s="13" t="s">
        <v>786</v>
      </c>
      <c r="B210" s="13" t="s">
        <v>787</v>
      </c>
      <c r="C210" s="12">
        <v>45638</v>
      </c>
      <c r="D210" s="18" t="s">
        <v>886</v>
      </c>
      <c r="E210" t="s">
        <v>901</v>
      </c>
    </row>
    <row r="211" spans="1:5" x14ac:dyDescent="0.3">
      <c r="A211" s="13" t="s">
        <v>788</v>
      </c>
      <c r="B211" s="13" t="s">
        <v>789</v>
      </c>
      <c r="C211" s="12">
        <v>45638</v>
      </c>
      <c r="D211" s="18" t="s">
        <v>886</v>
      </c>
      <c r="E211" t="s">
        <v>901</v>
      </c>
    </row>
    <row r="212" spans="1:5" x14ac:dyDescent="0.3">
      <c r="A212" s="13" t="s">
        <v>888</v>
      </c>
      <c r="B212" s="13" t="s">
        <v>790</v>
      </c>
      <c r="C212" s="12">
        <v>45656</v>
      </c>
      <c r="D212" s="18" t="s">
        <v>882</v>
      </c>
    </row>
    <row r="213" spans="1:5" x14ac:dyDescent="0.3">
      <c r="A213" s="13" t="s">
        <v>791</v>
      </c>
      <c r="B213" s="13" t="s">
        <v>792</v>
      </c>
      <c r="C213" s="12">
        <v>45667</v>
      </c>
      <c r="D213" s="18" t="s">
        <v>882</v>
      </c>
    </row>
    <row r="214" spans="1:5" x14ac:dyDescent="0.3">
      <c r="A214" s="13" t="s">
        <v>42</v>
      </c>
      <c r="B214" s="13" t="s">
        <v>101</v>
      </c>
      <c r="C214" s="12">
        <v>45668</v>
      </c>
      <c r="D214" s="18" t="s">
        <v>882</v>
      </c>
    </row>
    <row r="215" spans="1:5" x14ac:dyDescent="0.3">
      <c r="A215" s="13" t="s">
        <v>793</v>
      </c>
      <c r="B215" s="13" t="s">
        <v>794</v>
      </c>
      <c r="C215" s="12">
        <v>45704</v>
      </c>
      <c r="D215" s="18" t="s">
        <v>886</v>
      </c>
      <c r="E215" t="s">
        <v>906</v>
      </c>
    </row>
    <row r="216" spans="1:5" x14ac:dyDescent="0.3">
      <c r="A216" s="13" t="s">
        <v>795</v>
      </c>
      <c r="B216" s="13" t="s">
        <v>796</v>
      </c>
      <c r="C216" s="12">
        <v>45720</v>
      </c>
      <c r="D216" s="18" t="s">
        <v>886</v>
      </c>
      <c r="E216" t="s">
        <v>906</v>
      </c>
    </row>
    <row r="217" spans="1:5" x14ac:dyDescent="0.3">
      <c r="A217" s="13" t="s">
        <v>278</v>
      </c>
      <c r="B217" s="13" t="s">
        <v>381</v>
      </c>
      <c r="C217" s="12">
        <v>45722</v>
      </c>
      <c r="D217" s="18" t="s">
        <v>882</v>
      </c>
    </row>
    <row r="218" spans="1:5" x14ac:dyDescent="0.3">
      <c r="A218" s="13" t="s">
        <v>797</v>
      </c>
      <c r="B218" s="13" t="s">
        <v>231</v>
      </c>
      <c r="C218" s="12">
        <v>45747</v>
      </c>
      <c r="D218" s="18" t="s">
        <v>882</v>
      </c>
    </row>
    <row r="219" spans="1:5" x14ac:dyDescent="0.3">
      <c r="A219" s="13" t="s">
        <v>334</v>
      </c>
      <c r="B219" s="13" t="s">
        <v>410</v>
      </c>
      <c r="C219" s="12">
        <v>45748</v>
      </c>
      <c r="D219" s="18" t="s">
        <v>882</v>
      </c>
    </row>
    <row r="220" spans="1:5" x14ac:dyDescent="0.3">
      <c r="A220" s="13" t="s">
        <v>322</v>
      </c>
      <c r="B220" s="13" t="s">
        <v>406</v>
      </c>
      <c r="C220" s="12">
        <v>45777</v>
      </c>
      <c r="D220" s="18" t="s">
        <v>882</v>
      </c>
    </row>
    <row r="221" spans="1:5" x14ac:dyDescent="0.3">
      <c r="A221" s="13" t="s">
        <v>798</v>
      </c>
      <c r="B221" s="13" t="s">
        <v>799</v>
      </c>
      <c r="C221" s="12">
        <v>45778</v>
      </c>
      <c r="D221" s="18" t="s">
        <v>886</v>
      </c>
      <c r="E221" t="s">
        <v>906</v>
      </c>
    </row>
    <row r="222" spans="1:5" x14ac:dyDescent="0.3">
      <c r="A222" s="13" t="s">
        <v>800</v>
      </c>
      <c r="B222" s="13" t="s">
        <v>801</v>
      </c>
      <c r="C222" s="12">
        <v>45779</v>
      </c>
      <c r="D222" s="18" t="s">
        <v>886</v>
      </c>
      <c r="E222" t="s">
        <v>906</v>
      </c>
    </row>
    <row r="223" spans="1:5" x14ac:dyDescent="0.3">
      <c r="A223" s="13" t="s">
        <v>802</v>
      </c>
      <c r="B223" s="13" t="s">
        <v>803</v>
      </c>
      <c r="C223" s="12">
        <v>45806</v>
      </c>
      <c r="D223" s="18" t="s">
        <v>886</v>
      </c>
      <c r="E223" t="s">
        <v>908</v>
      </c>
    </row>
    <row r="224" spans="1:5" x14ac:dyDescent="0.3">
      <c r="A224" s="13" t="s">
        <v>319</v>
      </c>
      <c r="B224" s="13" t="s">
        <v>238</v>
      </c>
      <c r="C224" s="12">
        <v>45817</v>
      </c>
      <c r="D224" s="18" t="s">
        <v>882</v>
      </c>
    </row>
    <row r="225" spans="1:5" x14ac:dyDescent="0.3">
      <c r="A225" s="13" t="s">
        <v>804</v>
      </c>
      <c r="B225" s="13" t="s">
        <v>116</v>
      </c>
      <c r="C225" s="12">
        <v>45823</v>
      </c>
      <c r="D225" s="18" t="s">
        <v>882</v>
      </c>
    </row>
    <row r="226" spans="1:5" x14ac:dyDescent="0.3">
      <c r="A226" s="13" t="s">
        <v>805</v>
      </c>
      <c r="B226" s="13" t="s">
        <v>402</v>
      </c>
      <c r="C226" s="12">
        <v>45824</v>
      </c>
      <c r="D226" s="18" t="s">
        <v>882</v>
      </c>
    </row>
    <row r="227" spans="1:5" x14ac:dyDescent="0.3">
      <c r="A227" s="13" t="s">
        <v>806</v>
      </c>
      <c r="B227" s="13" t="s">
        <v>253</v>
      </c>
      <c r="C227" s="12">
        <v>45838</v>
      </c>
      <c r="D227" s="18" t="s">
        <v>882</v>
      </c>
    </row>
    <row r="228" spans="1:5" x14ac:dyDescent="0.3">
      <c r="A228" s="13" t="s">
        <v>807</v>
      </c>
      <c r="B228" s="13" t="s">
        <v>260</v>
      </c>
      <c r="C228" s="12">
        <v>45842</v>
      </c>
      <c r="D228" s="18" t="s">
        <v>882</v>
      </c>
    </row>
    <row r="229" spans="1:5" x14ac:dyDescent="0.3">
      <c r="A229" s="13" t="s">
        <v>808</v>
      </c>
      <c r="B229" s="13" t="s">
        <v>809</v>
      </c>
      <c r="C229" s="12">
        <v>45870</v>
      </c>
      <c r="D229" s="18" t="s">
        <v>882</v>
      </c>
    </row>
    <row r="230" spans="1:5" x14ac:dyDescent="0.3">
      <c r="A230" s="13" t="s">
        <v>450</v>
      </c>
      <c r="B230" s="13" t="s">
        <v>380</v>
      </c>
      <c r="C230" s="12">
        <v>45894</v>
      </c>
      <c r="D230" s="18" t="s">
        <v>882</v>
      </c>
    </row>
    <row r="231" spans="1:5" x14ac:dyDescent="0.3">
      <c r="A231" s="13" t="s">
        <v>810</v>
      </c>
      <c r="B231" s="13" t="s">
        <v>260</v>
      </c>
      <c r="C231" s="12">
        <v>45906</v>
      </c>
      <c r="D231" s="18" t="s">
        <v>886</v>
      </c>
      <c r="E231" t="s">
        <v>906</v>
      </c>
    </row>
    <row r="232" spans="1:5" x14ac:dyDescent="0.3">
      <c r="A232" s="13" t="s">
        <v>811</v>
      </c>
      <c r="B232" s="13" t="s">
        <v>260</v>
      </c>
      <c r="C232" s="12">
        <v>45912</v>
      </c>
      <c r="D232" s="18" t="s">
        <v>886</v>
      </c>
      <c r="E232" t="s">
        <v>906</v>
      </c>
    </row>
    <row r="233" spans="1:5" x14ac:dyDescent="0.3">
      <c r="A233" s="13" t="s">
        <v>329</v>
      </c>
      <c r="B233" s="13" t="s">
        <v>387</v>
      </c>
      <c r="C233" s="12">
        <v>45945</v>
      </c>
      <c r="D233" s="18" t="s">
        <v>882</v>
      </c>
    </row>
    <row r="234" spans="1:5" x14ac:dyDescent="0.3">
      <c r="A234" s="13" t="s">
        <v>812</v>
      </c>
      <c r="B234" s="13" t="s">
        <v>813</v>
      </c>
      <c r="C234" s="12">
        <v>45964</v>
      </c>
      <c r="D234" s="18" t="s">
        <v>886</v>
      </c>
      <c r="E234" t="s">
        <v>906</v>
      </c>
    </row>
    <row r="235" spans="1:5" x14ac:dyDescent="0.3">
      <c r="A235" s="13" t="s">
        <v>814</v>
      </c>
      <c r="B235" s="13" t="s">
        <v>813</v>
      </c>
      <c r="C235" s="12">
        <v>45964</v>
      </c>
      <c r="D235" s="18" t="s">
        <v>886</v>
      </c>
      <c r="E235" t="s">
        <v>906</v>
      </c>
    </row>
    <row r="236" spans="1:5" x14ac:dyDescent="0.3">
      <c r="A236" s="13" t="s">
        <v>815</v>
      </c>
      <c r="B236" s="13" t="s">
        <v>813</v>
      </c>
      <c r="C236" s="12">
        <v>45967</v>
      </c>
      <c r="D236" s="18" t="s">
        <v>886</v>
      </c>
      <c r="E236" t="s">
        <v>906</v>
      </c>
    </row>
    <row r="237" spans="1:5" x14ac:dyDescent="0.3">
      <c r="A237" s="13" t="s">
        <v>816</v>
      </c>
      <c r="B237" s="13" t="s">
        <v>387</v>
      </c>
      <c r="C237" s="12">
        <v>45969</v>
      </c>
      <c r="D237" s="18" t="s">
        <v>880</v>
      </c>
      <c r="E237" t="s">
        <v>909</v>
      </c>
    </row>
    <row r="238" spans="1:5" x14ac:dyDescent="0.3">
      <c r="A238" s="13" t="s">
        <v>817</v>
      </c>
      <c r="B238" s="13" t="s">
        <v>813</v>
      </c>
      <c r="C238" s="12">
        <v>45970</v>
      </c>
      <c r="D238" s="18" t="s">
        <v>886</v>
      </c>
      <c r="E238" t="s">
        <v>906</v>
      </c>
    </row>
    <row r="239" spans="1:5" x14ac:dyDescent="0.3">
      <c r="A239" s="13" t="s">
        <v>818</v>
      </c>
      <c r="B239" s="13" t="s">
        <v>819</v>
      </c>
      <c r="C239" s="12">
        <v>45970</v>
      </c>
      <c r="D239" s="18" t="s">
        <v>886</v>
      </c>
      <c r="E239" t="s">
        <v>906</v>
      </c>
    </row>
    <row r="240" spans="1:5" x14ac:dyDescent="0.3">
      <c r="A240" s="13" t="s">
        <v>820</v>
      </c>
      <c r="B240" s="13" t="s">
        <v>819</v>
      </c>
      <c r="C240" s="12">
        <v>45970</v>
      </c>
      <c r="D240" s="18" t="s">
        <v>886</v>
      </c>
      <c r="E240" t="s">
        <v>906</v>
      </c>
    </row>
    <row r="241" spans="1:5" x14ac:dyDescent="0.3">
      <c r="A241" s="13" t="s">
        <v>309</v>
      </c>
      <c r="B241" s="13" t="s">
        <v>397</v>
      </c>
      <c r="C241" s="12">
        <v>45974</v>
      </c>
      <c r="D241" s="18" t="s">
        <v>882</v>
      </c>
    </row>
    <row r="242" spans="1:5" x14ac:dyDescent="0.3">
      <c r="A242" s="13" t="s">
        <v>821</v>
      </c>
      <c r="B242" s="13" t="s">
        <v>822</v>
      </c>
      <c r="C242" s="12">
        <v>45975</v>
      </c>
      <c r="D242" s="18" t="s">
        <v>886</v>
      </c>
      <c r="E242" t="s">
        <v>906</v>
      </c>
    </row>
    <row r="243" spans="1:5" x14ac:dyDescent="0.3">
      <c r="A243" s="13" t="s">
        <v>823</v>
      </c>
      <c r="B243" s="13" t="s">
        <v>824</v>
      </c>
      <c r="C243" s="12">
        <v>45978</v>
      </c>
      <c r="D243" s="18" t="s">
        <v>886</v>
      </c>
      <c r="E243" t="s">
        <v>906</v>
      </c>
    </row>
    <row r="244" spans="1:5" x14ac:dyDescent="0.3">
      <c r="A244" s="13" t="s">
        <v>330</v>
      </c>
      <c r="B244" s="13" t="s">
        <v>387</v>
      </c>
      <c r="C244" s="12">
        <v>45981</v>
      </c>
      <c r="D244" s="18" t="s">
        <v>882</v>
      </c>
    </row>
    <row r="245" spans="1:5" x14ac:dyDescent="0.3">
      <c r="A245" s="15">
        <v>1984</v>
      </c>
      <c r="B245" s="13" t="s">
        <v>82</v>
      </c>
      <c r="C245" s="12">
        <v>45985</v>
      </c>
      <c r="D245" s="18" t="s">
        <v>882</v>
      </c>
    </row>
    <row r="246" spans="1:5" x14ac:dyDescent="0.3">
      <c r="A246" s="13" t="s">
        <v>825</v>
      </c>
      <c r="B246" s="13" t="s">
        <v>387</v>
      </c>
      <c r="C246" s="12">
        <v>46007</v>
      </c>
      <c r="D246" s="18" t="s">
        <v>882</v>
      </c>
    </row>
    <row r="247" spans="1:5" x14ac:dyDescent="0.3">
      <c r="A247" s="13" t="s">
        <v>826</v>
      </c>
      <c r="B247" s="13" t="s">
        <v>260</v>
      </c>
      <c r="C247" s="12">
        <v>46014</v>
      </c>
      <c r="D247" s="18" t="s">
        <v>882</v>
      </c>
    </row>
    <row r="248" spans="1:5" x14ac:dyDescent="0.3">
      <c r="A248" s="13" t="s">
        <v>827</v>
      </c>
      <c r="B248" s="13" t="s">
        <v>380</v>
      </c>
      <c r="C248" s="12">
        <v>46031</v>
      </c>
      <c r="D248" s="18" t="s">
        <v>882</v>
      </c>
    </row>
    <row r="249" spans="1:5" x14ac:dyDescent="0.3">
      <c r="A249" s="13" t="s">
        <v>828</v>
      </c>
      <c r="B249" s="13" t="s">
        <v>89</v>
      </c>
      <c r="C249" s="12">
        <v>46044</v>
      </c>
      <c r="D249" s="18" t="s">
        <v>882</v>
      </c>
    </row>
    <row r="250" spans="1:5" x14ac:dyDescent="0.3">
      <c r="A250" s="13" t="s">
        <v>829</v>
      </c>
      <c r="B250" s="13" t="s">
        <v>830</v>
      </c>
      <c r="C250" s="12">
        <v>46047</v>
      </c>
      <c r="D250" s="18" t="s">
        <v>882</v>
      </c>
    </row>
    <row r="251" spans="1:5" x14ac:dyDescent="0.3">
      <c r="A251" s="13" t="s">
        <v>831</v>
      </c>
      <c r="B251" s="13" t="s">
        <v>263</v>
      </c>
      <c r="C251" s="12">
        <v>46050</v>
      </c>
      <c r="D251" s="18" t="s">
        <v>882</v>
      </c>
    </row>
    <row r="252" spans="1:5" x14ac:dyDescent="0.3">
      <c r="A252" s="13" t="s">
        <v>832</v>
      </c>
      <c r="B252" s="13" t="s">
        <v>260</v>
      </c>
      <c r="C252" s="12">
        <v>46052</v>
      </c>
      <c r="D252" s="18" t="s">
        <v>882</v>
      </c>
    </row>
    <row r="253" spans="1:5" x14ac:dyDescent="0.3">
      <c r="A253" s="13" t="s">
        <v>833</v>
      </c>
      <c r="B253" s="13" t="s">
        <v>254</v>
      </c>
      <c r="C253" s="12">
        <v>46053</v>
      </c>
      <c r="D253" s="18" t="s">
        <v>882</v>
      </c>
    </row>
    <row r="254" spans="1:5" x14ac:dyDescent="0.3">
      <c r="A254" s="13" t="s">
        <v>327</v>
      </c>
      <c r="B254" s="13" t="s">
        <v>809</v>
      </c>
      <c r="C254" s="12">
        <v>46054</v>
      </c>
      <c r="D254" s="18" t="s">
        <v>882</v>
      </c>
    </row>
    <row r="255" spans="1:5" x14ac:dyDescent="0.3">
      <c r="A255" s="16" t="s">
        <v>834</v>
      </c>
      <c r="B255" s="14" t="s">
        <v>379</v>
      </c>
      <c r="C255" s="12">
        <v>46057</v>
      </c>
      <c r="D255" s="18" t="s">
        <v>882</v>
      </c>
    </row>
    <row r="256" spans="1:5" x14ac:dyDescent="0.3">
      <c r="A256" s="16" t="s">
        <v>835</v>
      </c>
      <c r="B256" s="14" t="s">
        <v>387</v>
      </c>
      <c r="C256" s="12">
        <v>46062</v>
      </c>
      <c r="D256" s="18" t="s">
        <v>882</v>
      </c>
    </row>
    <row r="257" spans="1:5" x14ac:dyDescent="0.3">
      <c r="A257" s="16" t="s">
        <v>836</v>
      </c>
      <c r="B257" s="14" t="s">
        <v>406</v>
      </c>
      <c r="C257" s="12">
        <v>46084</v>
      </c>
      <c r="D257" s="18" t="s">
        <v>882</v>
      </c>
    </row>
    <row r="258" spans="1:5" x14ac:dyDescent="0.3">
      <c r="A258" s="16" t="s">
        <v>837</v>
      </c>
      <c r="B258" s="14" t="s">
        <v>400</v>
      </c>
      <c r="C258" s="12">
        <v>46092</v>
      </c>
      <c r="D258" s="18" t="s">
        <v>882</v>
      </c>
    </row>
    <row r="259" spans="1:5" x14ac:dyDescent="0.3">
      <c r="A259" s="16" t="s">
        <v>838</v>
      </c>
      <c r="B259" s="14" t="s">
        <v>104</v>
      </c>
      <c r="C259" s="12">
        <v>46097</v>
      </c>
      <c r="D259" s="18" t="s">
        <v>882</v>
      </c>
    </row>
    <row r="260" spans="1:5" x14ac:dyDescent="0.3">
      <c r="A260" s="17" t="s">
        <v>839</v>
      </c>
      <c r="B260" s="14" t="s">
        <v>840</v>
      </c>
      <c r="C260" s="12">
        <v>46098</v>
      </c>
      <c r="D260" s="18" t="s">
        <v>886</v>
      </c>
      <c r="E260" t="s">
        <v>906</v>
      </c>
    </row>
    <row r="261" spans="1:5" x14ac:dyDescent="0.3">
      <c r="A261" s="17" t="s">
        <v>841</v>
      </c>
      <c r="B261" s="14" t="s">
        <v>842</v>
      </c>
      <c r="C261" s="12">
        <v>46107</v>
      </c>
      <c r="D261" s="18" t="s">
        <v>886</v>
      </c>
      <c r="E261" t="s">
        <v>906</v>
      </c>
    </row>
    <row r="262" spans="1:5" x14ac:dyDescent="0.3">
      <c r="A262" s="17" t="s">
        <v>279</v>
      </c>
      <c r="B262" s="14" t="s">
        <v>382</v>
      </c>
      <c r="C262" s="12">
        <v>46118</v>
      </c>
      <c r="D262" s="18" t="s">
        <v>882</v>
      </c>
    </row>
    <row r="263" spans="1:5" x14ac:dyDescent="0.3">
      <c r="A263" s="17" t="s">
        <v>843</v>
      </c>
      <c r="B263" s="13" t="s">
        <v>418</v>
      </c>
      <c r="C263" s="12">
        <v>46125</v>
      </c>
      <c r="D263" s="18" t="s">
        <v>885</v>
      </c>
    </row>
    <row r="264" spans="1:5" x14ac:dyDescent="0.3">
      <c r="A264" s="17" t="s">
        <v>844</v>
      </c>
      <c r="B264" s="13" t="s">
        <v>239</v>
      </c>
      <c r="C264" s="12">
        <v>46129</v>
      </c>
      <c r="D264" s="18" t="s">
        <v>882</v>
      </c>
    </row>
    <row r="265" spans="1:5" x14ac:dyDescent="0.3">
      <c r="A265" s="13" t="s">
        <v>845</v>
      </c>
      <c r="B265" s="13" t="s">
        <v>239</v>
      </c>
      <c r="C265" s="12">
        <v>46130</v>
      </c>
      <c r="D265" s="18" t="s">
        <v>886</v>
      </c>
      <c r="E265" t="s">
        <v>906</v>
      </c>
    </row>
    <row r="266" spans="1:5" x14ac:dyDescent="0.3">
      <c r="A266" s="13" t="s">
        <v>846</v>
      </c>
      <c r="B266" s="13" t="s">
        <v>239</v>
      </c>
      <c r="C266" s="12">
        <v>46131</v>
      </c>
      <c r="D266" s="18" t="s">
        <v>886</v>
      </c>
      <c r="E266" t="s">
        <v>906</v>
      </c>
    </row>
    <row r="267" spans="1:5" x14ac:dyDescent="0.3">
      <c r="A267" s="13" t="s">
        <v>847</v>
      </c>
      <c r="B267" s="13" t="s">
        <v>239</v>
      </c>
      <c r="C267" s="12">
        <v>46131</v>
      </c>
      <c r="D267" s="18" t="s">
        <v>886</v>
      </c>
      <c r="E267" t="s">
        <v>906</v>
      </c>
    </row>
    <row r="268" spans="1:5" x14ac:dyDescent="0.3">
      <c r="A268" s="13" t="s">
        <v>848</v>
      </c>
      <c r="B268" s="13" t="s">
        <v>849</v>
      </c>
      <c r="C268" s="12">
        <v>46132</v>
      </c>
      <c r="D268" s="18" t="s">
        <v>882</v>
      </c>
    </row>
    <row r="269" spans="1:5" x14ac:dyDescent="0.3">
      <c r="A269" s="13" t="s">
        <v>850</v>
      </c>
      <c r="B269" s="13" t="s">
        <v>387</v>
      </c>
      <c r="C269" s="10">
        <v>46141</v>
      </c>
      <c r="D269" s="18" t="s">
        <v>882</v>
      </c>
    </row>
    <row r="270" spans="1:5" x14ac:dyDescent="0.3">
      <c r="A270" s="13" t="s">
        <v>851</v>
      </c>
      <c r="B270" s="13" t="s">
        <v>246</v>
      </c>
      <c r="C270" s="10">
        <v>46148</v>
      </c>
      <c r="D270" s="18" t="s">
        <v>886</v>
      </c>
      <c r="E270" t="s">
        <v>906</v>
      </c>
    </row>
    <row r="271" spans="1:5" x14ac:dyDescent="0.3">
      <c r="A271" s="13" t="s">
        <v>370</v>
      </c>
      <c r="B271" t="s">
        <v>390</v>
      </c>
      <c r="C271" s="10">
        <v>46165</v>
      </c>
      <c r="D271" s="18" t="s">
        <v>882</v>
      </c>
    </row>
    <row r="272" spans="1:5" x14ac:dyDescent="0.3">
      <c r="A272" t="s">
        <v>922</v>
      </c>
      <c r="B272" t="s">
        <v>100</v>
      </c>
      <c r="C272" s="10">
        <v>46177</v>
      </c>
      <c r="D272" s="18" t="s">
        <v>882</v>
      </c>
      <c r="E272" t="s">
        <v>906</v>
      </c>
    </row>
    <row r="273" spans="1:5" x14ac:dyDescent="0.3">
      <c r="A273" t="s">
        <v>300</v>
      </c>
      <c r="B273" t="s">
        <v>391</v>
      </c>
      <c r="C273" s="10">
        <v>46184</v>
      </c>
      <c r="D273" s="18" t="s">
        <v>882</v>
      </c>
    </row>
    <row r="274" spans="1:5" x14ac:dyDescent="0.3">
      <c r="A274" t="s">
        <v>498</v>
      </c>
      <c r="B274" t="s">
        <v>499</v>
      </c>
      <c r="C274" s="10">
        <v>46209</v>
      </c>
      <c r="D274" s="18" t="s">
        <v>882</v>
      </c>
    </row>
    <row r="275" spans="1:5" x14ac:dyDescent="0.3">
      <c r="A275" t="s">
        <v>454</v>
      </c>
      <c r="B275" t="s">
        <v>387</v>
      </c>
      <c r="C275" s="10">
        <v>46213</v>
      </c>
      <c r="D275" s="18" t="s">
        <v>882</v>
      </c>
    </row>
    <row r="276" spans="1:5" x14ac:dyDescent="0.3">
      <c r="A276" t="s">
        <v>965</v>
      </c>
      <c r="B276" t="s">
        <v>966</v>
      </c>
      <c r="D276" s="18" t="s">
        <v>886</v>
      </c>
      <c r="E276" t="s">
        <v>906</v>
      </c>
    </row>
    <row r="277" spans="1:5" x14ac:dyDescent="0.3">
      <c r="D277" s="18" t="s">
        <v>122</v>
      </c>
    </row>
    <row r="278" spans="1:5" x14ac:dyDescent="0.3">
      <c r="D278" s="18" t="s">
        <v>122</v>
      </c>
    </row>
    <row r="279" spans="1:5" x14ac:dyDescent="0.3">
      <c r="D279" s="18" t="s">
        <v>122</v>
      </c>
    </row>
    <row r="280" spans="1:5" x14ac:dyDescent="0.3">
      <c r="D280" s="18" t="s">
        <v>122</v>
      </c>
    </row>
    <row r="281" spans="1:5" x14ac:dyDescent="0.3">
      <c r="D281" s="18" t="s">
        <v>122</v>
      </c>
    </row>
    <row r="282" spans="1:5" x14ac:dyDescent="0.3">
      <c r="D282" s="18" t="s">
        <v>122</v>
      </c>
    </row>
    <row r="283" spans="1:5" x14ac:dyDescent="0.3">
      <c r="D283" s="18" t="s">
        <v>122</v>
      </c>
    </row>
    <row r="284" spans="1:5" x14ac:dyDescent="0.3">
      <c r="D284" s="18" t="s">
        <v>122</v>
      </c>
    </row>
    <row r="285" spans="1:5" x14ac:dyDescent="0.3">
      <c r="D285" s="18" t="s">
        <v>122</v>
      </c>
    </row>
    <row r="286" spans="1:5" x14ac:dyDescent="0.3">
      <c r="D286" s="18" t="s">
        <v>122</v>
      </c>
    </row>
    <row r="287" spans="1:5" x14ac:dyDescent="0.3">
      <c r="D287" s="18" t="s">
        <v>122</v>
      </c>
    </row>
    <row r="288" spans="1:5" x14ac:dyDescent="0.3">
      <c r="D288" s="18" t="s">
        <v>122</v>
      </c>
    </row>
    <row r="289" spans="4:4" x14ac:dyDescent="0.3">
      <c r="D289" s="18" t="s">
        <v>122</v>
      </c>
    </row>
    <row r="290" spans="4:4" x14ac:dyDescent="0.3">
      <c r="D290" s="18" t="s">
        <v>122</v>
      </c>
    </row>
    <row r="291" spans="4:4" x14ac:dyDescent="0.3">
      <c r="D291" s="18" t="s">
        <v>122</v>
      </c>
    </row>
    <row r="292" spans="4:4" x14ac:dyDescent="0.3">
      <c r="D292" s="18" t="s">
        <v>122</v>
      </c>
    </row>
    <row r="293" spans="4:4" x14ac:dyDescent="0.3">
      <c r="D293" s="18" t="s">
        <v>122</v>
      </c>
    </row>
    <row r="294" spans="4:4" x14ac:dyDescent="0.3">
      <c r="D294" s="18" t="s">
        <v>122</v>
      </c>
    </row>
    <row r="295" spans="4:4" x14ac:dyDescent="0.3">
      <c r="D295" s="18" t="s">
        <v>122</v>
      </c>
    </row>
    <row r="296" spans="4:4" x14ac:dyDescent="0.3">
      <c r="D296" s="18" t="s">
        <v>122</v>
      </c>
    </row>
    <row r="297" spans="4:4" x14ac:dyDescent="0.3">
      <c r="D297" s="18" t="s">
        <v>122</v>
      </c>
    </row>
    <row r="298" spans="4:4" x14ac:dyDescent="0.3">
      <c r="D298" s="18" t="s">
        <v>122</v>
      </c>
    </row>
    <row r="299" spans="4:4" x14ac:dyDescent="0.3">
      <c r="D299" s="18" t="s">
        <v>122</v>
      </c>
    </row>
    <row r="300" spans="4:4" x14ac:dyDescent="0.3">
      <c r="D300" s="18" t="s">
        <v>122</v>
      </c>
    </row>
    <row r="301" spans="4:4" x14ac:dyDescent="0.3">
      <c r="D301" s="18" t="s">
        <v>122</v>
      </c>
    </row>
    <row r="302" spans="4:4" x14ac:dyDescent="0.3">
      <c r="D302" s="18" t="s">
        <v>122</v>
      </c>
    </row>
    <row r="303" spans="4:4" x14ac:dyDescent="0.3">
      <c r="D303" s="18" t="s">
        <v>122</v>
      </c>
    </row>
    <row r="304" spans="4:4" x14ac:dyDescent="0.3">
      <c r="D304" s="18" t="s">
        <v>122</v>
      </c>
    </row>
    <row r="305" spans="4:4" x14ac:dyDescent="0.3">
      <c r="D305" s="18" t="s">
        <v>122</v>
      </c>
    </row>
    <row r="306" spans="4:4" x14ac:dyDescent="0.3">
      <c r="D306" s="18" t="s">
        <v>122</v>
      </c>
    </row>
    <row r="307" spans="4:4" x14ac:dyDescent="0.3">
      <c r="D307" s="18" t="s">
        <v>122</v>
      </c>
    </row>
    <row r="308" spans="4:4" x14ac:dyDescent="0.3">
      <c r="D308" s="18" t="s">
        <v>122</v>
      </c>
    </row>
    <row r="309" spans="4:4" x14ac:dyDescent="0.3">
      <c r="D309" s="18" t="s">
        <v>122</v>
      </c>
    </row>
    <row r="310" spans="4:4" x14ac:dyDescent="0.3">
      <c r="D310" s="18" t="s">
        <v>122</v>
      </c>
    </row>
    <row r="311" spans="4:4" x14ac:dyDescent="0.3">
      <c r="D311" s="18" t="s">
        <v>122</v>
      </c>
    </row>
    <row r="312" spans="4:4" x14ac:dyDescent="0.3">
      <c r="D312" s="18" t="s">
        <v>122</v>
      </c>
    </row>
    <row r="313" spans="4:4" x14ac:dyDescent="0.3">
      <c r="D313" s="18" t="s">
        <v>122</v>
      </c>
    </row>
    <row r="314" spans="4:4" x14ac:dyDescent="0.3">
      <c r="D314" s="18" t="s">
        <v>122</v>
      </c>
    </row>
    <row r="315" spans="4:4" x14ac:dyDescent="0.3">
      <c r="D315" s="18" t="s">
        <v>122</v>
      </c>
    </row>
    <row r="316" spans="4:4" x14ac:dyDescent="0.3">
      <c r="D316" s="18" t="s">
        <v>122</v>
      </c>
    </row>
    <row r="317" spans="4:4" x14ac:dyDescent="0.3">
      <c r="D317" s="18" t="s">
        <v>122</v>
      </c>
    </row>
    <row r="318" spans="4:4" x14ac:dyDescent="0.3">
      <c r="D318" s="18" t="s">
        <v>122</v>
      </c>
    </row>
    <row r="319" spans="4:4" x14ac:dyDescent="0.3">
      <c r="D319" s="18" t="s">
        <v>122</v>
      </c>
    </row>
    <row r="320" spans="4:4" x14ac:dyDescent="0.3">
      <c r="D320" s="18" t="s">
        <v>122</v>
      </c>
    </row>
    <row r="321" spans="4:4" x14ac:dyDescent="0.3">
      <c r="D321" s="18" t="s">
        <v>122</v>
      </c>
    </row>
    <row r="322" spans="4:4" x14ac:dyDescent="0.3">
      <c r="D322" s="18" t="s">
        <v>122</v>
      </c>
    </row>
    <row r="323" spans="4:4" x14ac:dyDescent="0.3">
      <c r="D323" s="18" t="s">
        <v>122</v>
      </c>
    </row>
    <row r="324" spans="4:4" x14ac:dyDescent="0.3">
      <c r="D324" s="18" t="s">
        <v>122</v>
      </c>
    </row>
    <row r="325" spans="4:4" x14ac:dyDescent="0.3">
      <c r="D325" s="18" t="s">
        <v>122</v>
      </c>
    </row>
    <row r="326" spans="4:4" x14ac:dyDescent="0.3">
      <c r="D326" s="18" t="s">
        <v>122</v>
      </c>
    </row>
    <row r="327" spans="4:4" x14ac:dyDescent="0.3">
      <c r="D327" s="18" t="s">
        <v>122</v>
      </c>
    </row>
    <row r="328" spans="4:4" x14ac:dyDescent="0.3">
      <c r="D328" s="18" t="s">
        <v>122</v>
      </c>
    </row>
    <row r="329" spans="4:4" x14ac:dyDescent="0.3">
      <c r="D329" s="18" t="s">
        <v>122</v>
      </c>
    </row>
    <row r="330" spans="4:4" x14ac:dyDescent="0.3">
      <c r="D330" s="18" t="s">
        <v>122</v>
      </c>
    </row>
    <row r="331" spans="4:4" x14ac:dyDescent="0.3">
      <c r="D331" s="18" t="s">
        <v>122</v>
      </c>
    </row>
    <row r="332" spans="4:4" x14ac:dyDescent="0.3">
      <c r="D332" s="18" t="s">
        <v>122</v>
      </c>
    </row>
    <row r="333" spans="4:4" x14ac:dyDescent="0.3">
      <c r="D333" s="18" t="s">
        <v>122</v>
      </c>
    </row>
    <row r="334" spans="4:4" x14ac:dyDescent="0.3">
      <c r="D334" s="18" t="s">
        <v>122</v>
      </c>
    </row>
    <row r="335" spans="4:4" x14ac:dyDescent="0.3">
      <c r="D335" s="18" t="s">
        <v>122</v>
      </c>
    </row>
    <row r="336" spans="4:4" x14ac:dyDescent="0.3">
      <c r="D336" s="18" t="s">
        <v>122</v>
      </c>
    </row>
    <row r="337" spans="4:4" x14ac:dyDescent="0.3">
      <c r="D337" s="18" t="s">
        <v>122</v>
      </c>
    </row>
    <row r="338" spans="4:4" x14ac:dyDescent="0.3">
      <c r="D338" s="18" t="s">
        <v>122</v>
      </c>
    </row>
    <row r="339" spans="4:4" x14ac:dyDescent="0.3">
      <c r="D339" s="18" t="s">
        <v>122</v>
      </c>
    </row>
    <row r="340" spans="4:4" x14ac:dyDescent="0.3">
      <c r="D340" s="18" t="s">
        <v>122</v>
      </c>
    </row>
    <row r="341" spans="4:4" x14ac:dyDescent="0.3">
      <c r="D341" s="18" t="s">
        <v>122</v>
      </c>
    </row>
    <row r="342" spans="4:4" x14ac:dyDescent="0.3">
      <c r="D342" s="18" t="s">
        <v>122</v>
      </c>
    </row>
    <row r="343" spans="4:4" x14ac:dyDescent="0.3">
      <c r="D343" s="18" t="s">
        <v>122</v>
      </c>
    </row>
    <row r="344" spans="4:4" x14ac:dyDescent="0.3">
      <c r="D344" s="18" t="s">
        <v>122</v>
      </c>
    </row>
    <row r="345" spans="4:4" x14ac:dyDescent="0.3">
      <c r="D345" s="18" t="s">
        <v>122</v>
      </c>
    </row>
    <row r="346" spans="4:4" x14ac:dyDescent="0.3">
      <c r="D346" s="18" t="s">
        <v>122</v>
      </c>
    </row>
    <row r="347" spans="4:4" x14ac:dyDescent="0.3">
      <c r="D347" s="18" t="s">
        <v>122</v>
      </c>
    </row>
    <row r="348" spans="4:4" x14ac:dyDescent="0.3">
      <c r="D348" s="18" t="s">
        <v>122</v>
      </c>
    </row>
    <row r="349" spans="4:4" x14ac:dyDescent="0.3">
      <c r="D349" s="18" t="s">
        <v>122</v>
      </c>
    </row>
    <row r="350" spans="4:4" x14ac:dyDescent="0.3">
      <c r="D350" s="18" t="s">
        <v>122</v>
      </c>
    </row>
    <row r="351" spans="4:4" x14ac:dyDescent="0.3">
      <c r="D351" s="18" t="s">
        <v>122</v>
      </c>
    </row>
    <row r="352" spans="4:4" x14ac:dyDescent="0.3">
      <c r="D352" s="18" t="s">
        <v>122</v>
      </c>
    </row>
    <row r="353" spans="4:4" x14ac:dyDescent="0.3">
      <c r="D353" s="18" t="s">
        <v>122</v>
      </c>
    </row>
    <row r="354" spans="4:4" x14ac:dyDescent="0.3">
      <c r="D354" s="18" t="s">
        <v>122</v>
      </c>
    </row>
    <row r="355" spans="4:4" x14ac:dyDescent="0.3">
      <c r="D355" s="18" t="s">
        <v>122</v>
      </c>
    </row>
    <row r="356" spans="4:4" x14ac:dyDescent="0.3">
      <c r="D356" s="18" t="s">
        <v>122</v>
      </c>
    </row>
    <row r="357" spans="4:4" x14ac:dyDescent="0.3">
      <c r="D357" s="18" t="s">
        <v>122</v>
      </c>
    </row>
    <row r="358" spans="4:4" x14ac:dyDescent="0.3">
      <c r="D358" s="18" t="s">
        <v>122</v>
      </c>
    </row>
    <row r="359" spans="4:4" x14ac:dyDescent="0.3">
      <c r="D359" s="18" t="s">
        <v>122</v>
      </c>
    </row>
    <row r="360" spans="4:4" x14ac:dyDescent="0.3">
      <c r="D360" s="18" t="s">
        <v>122</v>
      </c>
    </row>
    <row r="361" spans="4:4" x14ac:dyDescent="0.3">
      <c r="D361" s="18" t="s">
        <v>122</v>
      </c>
    </row>
    <row r="362" spans="4:4" x14ac:dyDescent="0.3">
      <c r="D362" s="18" t="s">
        <v>122</v>
      </c>
    </row>
    <row r="363" spans="4:4" x14ac:dyDescent="0.3">
      <c r="D363" s="18" t="s">
        <v>122</v>
      </c>
    </row>
    <row r="364" spans="4:4" x14ac:dyDescent="0.3">
      <c r="D364" s="18" t="s">
        <v>122</v>
      </c>
    </row>
    <row r="365" spans="4:4" x14ac:dyDescent="0.3">
      <c r="D365" s="18" t="s">
        <v>122</v>
      </c>
    </row>
    <row r="366" spans="4:4" x14ac:dyDescent="0.3">
      <c r="D366" s="18" t="s">
        <v>122</v>
      </c>
    </row>
    <row r="367" spans="4:4" x14ac:dyDescent="0.3">
      <c r="D367" s="18" t="s">
        <v>122</v>
      </c>
    </row>
    <row r="368" spans="4:4" x14ac:dyDescent="0.3">
      <c r="D368" s="18" t="s">
        <v>122</v>
      </c>
    </row>
    <row r="369" spans="4:4" x14ac:dyDescent="0.3">
      <c r="D369" s="18" t="s">
        <v>122</v>
      </c>
    </row>
    <row r="370" spans="4:4" x14ac:dyDescent="0.3">
      <c r="D370" s="18" t="s">
        <v>122</v>
      </c>
    </row>
    <row r="371" spans="4:4" x14ac:dyDescent="0.3">
      <c r="D371" s="18" t="s">
        <v>122</v>
      </c>
    </row>
    <row r="372" spans="4:4" x14ac:dyDescent="0.3">
      <c r="D372" s="18" t="s">
        <v>122</v>
      </c>
    </row>
    <row r="373" spans="4:4" x14ac:dyDescent="0.3">
      <c r="D373" s="18" t="s">
        <v>122</v>
      </c>
    </row>
    <row r="374" spans="4:4" x14ac:dyDescent="0.3">
      <c r="D374" s="18" t="s">
        <v>122</v>
      </c>
    </row>
    <row r="375" spans="4:4" x14ac:dyDescent="0.3">
      <c r="D375" s="18" t="s">
        <v>122</v>
      </c>
    </row>
    <row r="376" spans="4:4" x14ac:dyDescent="0.3">
      <c r="D376" s="18" t="s">
        <v>122</v>
      </c>
    </row>
    <row r="377" spans="4:4" x14ac:dyDescent="0.3">
      <c r="D377" s="18" t="s">
        <v>122</v>
      </c>
    </row>
    <row r="378" spans="4:4" x14ac:dyDescent="0.3">
      <c r="D378" s="18" t="s">
        <v>122</v>
      </c>
    </row>
    <row r="379" spans="4:4" x14ac:dyDescent="0.3">
      <c r="D379" s="18" t="s">
        <v>122</v>
      </c>
    </row>
    <row r="380" spans="4:4" x14ac:dyDescent="0.3">
      <c r="D380" s="18" t="s">
        <v>122</v>
      </c>
    </row>
    <row r="381" spans="4:4" x14ac:dyDescent="0.3">
      <c r="D381" s="18" t="s">
        <v>122</v>
      </c>
    </row>
    <row r="382" spans="4:4" x14ac:dyDescent="0.3">
      <c r="D382" s="18" t="s">
        <v>122</v>
      </c>
    </row>
    <row r="383" spans="4:4" x14ac:dyDescent="0.3">
      <c r="D383" s="18" t="s">
        <v>122</v>
      </c>
    </row>
    <row r="384" spans="4:4" x14ac:dyDescent="0.3">
      <c r="D384" s="18" t="s">
        <v>122</v>
      </c>
    </row>
    <row r="385" spans="4:4" x14ac:dyDescent="0.3">
      <c r="D385" s="18" t="s">
        <v>122</v>
      </c>
    </row>
    <row r="386" spans="4:4" x14ac:dyDescent="0.3">
      <c r="D386" s="18" t="s">
        <v>122</v>
      </c>
    </row>
    <row r="387" spans="4:4" x14ac:dyDescent="0.3">
      <c r="D387" s="18" t="s">
        <v>122</v>
      </c>
    </row>
    <row r="388" spans="4:4" x14ac:dyDescent="0.3">
      <c r="D388" s="18" t="s">
        <v>122</v>
      </c>
    </row>
    <row r="389" spans="4:4" x14ac:dyDescent="0.3">
      <c r="D389" s="18" t="s">
        <v>122</v>
      </c>
    </row>
    <row r="390" spans="4:4" x14ac:dyDescent="0.3">
      <c r="D390" s="18" t="s">
        <v>122</v>
      </c>
    </row>
    <row r="391" spans="4:4" x14ac:dyDescent="0.3">
      <c r="D391" s="18" t="s">
        <v>122</v>
      </c>
    </row>
    <row r="392" spans="4:4" x14ac:dyDescent="0.3">
      <c r="D392" s="18" t="s">
        <v>122</v>
      </c>
    </row>
    <row r="393" spans="4:4" x14ac:dyDescent="0.3">
      <c r="D393" s="18" t="s">
        <v>122</v>
      </c>
    </row>
    <row r="394" spans="4:4" x14ac:dyDescent="0.3">
      <c r="D394" s="18" t="s">
        <v>122</v>
      </c>
    </row>
    <row r="395" spans="4:4" x14ac:dyDescent="0.3">
      <c r="D395" s="18" t="s">
        <v>122</v>
      </c>
    </row>
    <row r="396" spans="4:4" x14ac:dyDescent="0.3">
      <c r="D396" s="18" t="s">
        <v>122</v>
      </c>
    </row>
    <row r="397" spans="4:4" x14ac:dyDescent="0.3">
      <c r="D397" s="18" t="s">
        <v>122</v>
      </c>
    </row>
    <row r="398" spans="4:4" x14ac:dyDescent="0.3">
      <c r="D398" s="18" t="s">
        <v>122</v>
      </c>
    </row>
    <row r="399" spans="4:4" x14ac:dyDescent="0.3">
      <c r="D399" s="18" t="s">
        <v>122</v>
      </c>
    </row>
    <row r="400" spans="4:4" x14ac:dyDescent="0.3">
      <c r="D400" s="18" t="s">
        <v>122</v>
      </c>
    </row>
    <row r="401" spans="4:4" x14ac:dyDescent="0.3">
      <c r="D401" s="18" t="s">
        <v>122</v>
      </c>
    </row>
    <row r="402" spans="4:4" x14ac:dyDescent="0.3">
      <c r="D402" s="18" t="s">
        <v>122</v>
      </c>
    </row>
    <row r="403" spans="4:4" x14ac:dyDescent="0.3">
      <c r="D403" s="18" t="s">
        <v>122</v>
      </c>
    </row>
    <row r="404" spans="4:4" x14ac:dyDescent="0.3">
      <c r="D404" s="18" t="s">
        <v>122</v>
      </c>
    </row>
    <row r="405" spans="4:4" x14ac:dyDescent="0.3">
      <c r="D405" s="18" t="s">
        <v>122</v>
      </c>
    </row>
    <row r="406" spans="4:4" x14ac:dyDescent="0.3">
      <c r="D406" s="18" t="s">
        <v>122</v>
      </c>
    </row>
    <row r="407" spans="4:4" x14ac:dyDescent="0.3">
      <c r="D407" s="18" t="s">
        <v>122</v>
      </c>
    </row>
    <row r="408" spans="4:4" x14ac:dyDescent="0.3">
      <c r="D408" s="18" t="s">
        <v>122</v>
      </c>
    </row>
    <row r="409" spans="4:4" x14ac:dyDescent="0.3">
      <c r="D409" s="18" t="s">
        <v>122</v>
      </c>
    </row>
    <row r="410" spans="4:4" x14ac:dyDescent="0.3">
      <c r="D410" s="18" t="s">
        <v>122</v>
      </c>
    </row>
    <row r="411" spans="4:4" x14ac:dyDescent="0.3">
      <c r="D411" s="18" t="s">
        <v>122</v>
      </c>
    </row>
    <row r="412" spans="4:4" x14ac:dyDescent="0.3">
      <c r="D412" s="18" t="s">
        <v>122</v>
      </c>
    </row>
    <row r="413" spans="4:4" x14ac:dyDescent="0.3">
      <c r="D413" s="18" t="s">
        <v>122</v>
      </c>
    </row>
    <row r="414" spans="4:4" x14ac:dyDescent="0.3">
      <c r="D414" s="18" t="s">
        <v>122</v>
      </c>
    </row>
    <row r="415" spans="4:4" x14ac:dyDescent="0.3">
      <c r="D415" s="18" t="s">
        <v>122</v>
      </c>
    </row>
    <row r="416" spans="4:4" x14ac:dyDescent="0.3">
      <c r="D416" s="18" t="s">
        <v>122</v>
      </c>
    </row>
    <row r="417" spans="4:4" x14ac:dyDescent="0.3">
      <c r="D417" s="18" t="s">
        <v>122</v>
      </c>
    </row>
    <row r="418" spans="4:4" x14ac:dyDescent="0.3">
      <c r="D418" s="18" t="s">
        <v>122</v>
      </c>
    </row>
    <row r="419" spans="4:4" x14ac:dyDescent="0.3">
      <c r="D419" s="18" t="s">
        <v>122</v>
      </c>
    </row>
    <row r="420" spans="4:4" x14ac:dyDescent="0.3">
      <c r="D420" s="18" t="s">
        <v>122</v>
      </c>
    </row>
    <row r="421" spans="4:4" x14ac:dyDescent="0.3">
      <c r="D421" s="18" t="s">
        <v>122</v>
      </c>
    </row>
    <row r="422" spans="4:4" x14ac:dyDescent="0.3">
      <c r="D422" s="18" t="s">
        <v>122</v>
      </c>
    </row>
    <row r="423" spans="4:4" x14ac:dyDescent="0.3">
      <c r="D423" s="18" t="s">
        <v>122</v>
      </c>
    </row>
    <row r="424" spans="4:4" x14ac:dyDescent="0.3">
      <c r="D424" s="18" t="s">
        <v>122</v>
      </c>
    </row>
    <row r="425" spans="4:4" x14ac:dyDescent="0.3">
      <c r="D425" s="18" t="s">
        <v>122</v>
      </c>
    </row>
    <row r="426" spans="4:4" x14ac:dyDescent="0.3">
      <c r="D426" s="18" t="s">
        <v>122</v>
      </c>
    </row>
    <row r="427" spans="4:4" x14ac:dyDescent="0.3">
      <c r="D427" s="18" t="s">
        <v>122</v>
      </c>
    </row>
    <row r="428" spans="4:4" x14ac:dyDescent="0.3">
      <c r="D428" s="18" t="s">
        <v>122</v>
      </c>
    </row>
    <row r="429" spans="4:4" x14ac:dyDescent="0.3">
      <c r="D429" s="18" t="s">
        <v>122</v>
      </c>
    </row>
    <row r="430" spans="4:4" x14ac:dyDescent="0.3">
      <c r="D430" s="18" t="s">
        <v>122</v>
      </c>
    </row>
    <row r="431" spans="4:4" x14ac:dyDescent="0.3">
      <c r="D431" s="18" t="s">
        <v>122</v>
      </c>
    </row>
    <row r="432" spans="4:4" x14ac:dyDescent="0.3">
      <c r="D432" s="18" t="s">
        <v>122</v>
      </c>
    </row>
    <row r="433" spans="4:4" x14ac:dyDescent="0.3">
      <c r="D433" s="18" t="s">
        <v>122</v>
      </c>
    </row>
    <row r="434" spans="4:4" x14ac:dyDescent="0.3">
      <c r="D434" s="18" t="s">
        <v>122</v>
      </c>
    </row>
    <row r="435" spans="4:4" x14ac:dyDescent="0.3">
      <c r="D435" s="18" t="s">
        <v>122</v>
      </c>
    </row>
    <row r="436" spans="4:4" x14ac:dyDescent="0.3">
      <c r="D436" s="18" t="s">
        <v>122</v>
      </c>
    </row>
    <row r="437" spans="4:4" x14ac:dyDescent="0.3">
      <c r="D437" s="18" t="s">
        <v>122</v>
      </c>
    </row>
    <row r="438" spans="4:4" x14ac:dyDescent="0.3">
      <c r="D438" s="18" t="s">
        <v>122</v>
      </c>
    </row>
    <row r="439" spans="4:4" x14ac:dyDescent="0.3">
      <c r="D439" s="18" t="s">
        <v>122</v>
      </c>
    </row>
    <row r="440" spans="4:4" x14ac:dyDescent="0.3">
      <c r="D440" s="18" t="s">
        <v>122</v>
      </c>
    </row>
    <row r="441" spans="4:4" x14ac:dyDescent="0.3">
      <c r="D441" s="18" t="s">
        <v>122</v>
      </c>
    </row>
    <row r="442" spans="4:4" x14ac:dyDescent="0.3">
      <c r="D442" s="18" t="s">
        <v>122</v>
      </c>
    </row>
    <row r="443" spans="4:4" x14ac:dyDescent="0.3">
      <c r="D443" s="18" t="s">
        <v>122</v>
      </c>
    </row>
    <row r="444" spans="4:4" x14ac:dyDescent="0.3">
      <c r="D444" s="18" t="s">
        <v>122</v>
      </c>
    </row>
    <row r="445" spans="4:4" x14ac:dyDescent="0.3">
      <c r="D445" s="18" t="s">
        <v>122</v>
      </c>
    </row>
    <row r="446" spans="4:4" x14ac:dyDescent="0.3">
      <c r="D446" s="18" t="s">
        <v>122</v>
      </c>
    </row>
    <row r="447" spans="4:4" x14ac:dyDescent="0.3">
      <c r="D447" s="18" t="s">
        <v>122</v>
      </c>
    </row>
    <row r="448" spans="4:4" x14ac:dyDescent="0.3">
      <c r="D448" s="18" t="s">
        <v>122</v>
      </c>
    </row>
    <row r="449" spans="4:4" x14ac:dyDescent="0.3">
      <c r="D449" s="18" t="s">
        <v>122</v>
      </c>
    </row>
    <row r="450" spans="4:4" x14ac:dyDescent="0.3">
      <c r="D450" s="18" t="s">
        <v>122</v>
      </c>
    </row>
    <row r="451" spans="4:4" x14ac:dyDescent="0.3">
      <c r="D451" s="18" t="s">
        <v>122</v>
      </c>
    </row>
    <row r="452" spans="4:4" x14ac:dyDescent="0.3">
      <c r="D452" s="18" t="s">
        <v>122</v>
      </c>
    </row>
    <row r="453" spans="4:4" x14ac:dyDescent="0.3">
      <c r="D453" s="18" t="s">
        <v>122</v>
      </c>
    </row>
    <row r="454" spans="4:4" x14ac:dyDescent="0.3">
      <c r="D454" s="18" t="s">
        <v>122</v>
      </c>
    </row>
    <row r="455" spans="4:4" x14ac:dyDescent="0.3">
      <c r="D455" s="18" t="s">
        <v>122</v>
      </c>
    </row>
    <row r="456" spans="4:4" x14ac:dyDescent="0.3">
      <c r="D456" s="18" t="s">
        <v>122</v>
      </c>
    </row>
    <row r="457" spans="4:4" x14ac:dyDescent="0.3">
      <c r="D457" s="18" t="s">
        <v>122</v>
      </c>
    </row>
    <row r="458" spans="4:4" x14ac:dyDescent="0.3">
      <c r="D458" s="18" t="s">
        <v>122</v>
      </c>
    </row>
    <row r="459" spans="4:4" x14ac:dyDescent="0.3">
      <c r="D459" s="18" t="s">
        <v>122</v>
      </c>
    </row>
    <row r="460" spans="4:4" x14ac:dyDescent="0.3">
      <c r="D460" s="18" t="s">
        <v>122</v>
      </c>
    </row>
    <row r="461" spans="4:4" x14ac:dyDescent="0.3">
      <c r="D461" s="18" t="s">
        <v>122</v>
      </c>
    </row>
    <row r="462" spans="4:4" x14ac:dyDescent="0.3">
      <c r="D462" s="18" t="s">
        <v>122</v>
      </c>
    </row>
    <row r="463" spans="4:4" x14ac:dyDescent="0.3">
      <c r="D463" s="18" t="s">
        <v>122</v>
      </c>
    </row>
    <row r="464" spans="4:4" x14ac:dyDescent="0.3">
      <c r="D464" s="18" t="s">
        <v>122</v>
      </c>
    </row>
    <row r="465" spans="4:4" x14ac:dyDescent="0.3">
      <c r="D465" s="18" t="s">
        <v>122</v>
      </c>
    </row>
    <row r="466" spans="4:4" x14ac:dyDescent="0.3">
      <c r="D466" s="18" t="s">
        <v>122</v>
      </c>
    </row>
    <row r="467" spans="4:4" x14ac:dyDescent="0.3">
      <c r="D467" s="18" t="s">
        <v>122</v>
      </c>
    </row>
    <row r="468" spans="4:4" x14ac:dyDescent="0.3">
      <c r="D468" s="18" t="s">
        <v>122</v>
      </c>
    </row>
    <row r="469" spans="4:4" x14ac:dyDescent="0.3">
      <c r="D469" s="18" t="s">
        <v>122</v>
      </c>
    </row>
    <row r="470" spans="4:4" x14ac:dyDescent="0.3">
      <c r="D470" s="18" t="s">
        <v>122</v>
      </c>
    </row>
    <row r="471" spans="4:4" x14ac:dyDescent="0.3">
      <c r="D471" s="18" t="s">
        <v>122</v>
      </c>
    </row>
    <row r="472" spans="4:4" x14ac:dyDescent="0.3">
      <c r="D472" s="18" t="s">
        <v>122</v>
      </c>
    </row>
    <row r="473" spans="4:4" x14ac:dyDescent="0.3">
      <c r="D473" s="18" t="s">
        <v>122</v>
      </c>
    </row>
    <row r="474" spans="4:4" x14ac:dyDescent="0.3">
      <c r="D474" s="18" t="s">
        <v>122</v>
      </c>
    </row>
    <row r="475" spans="4:4" x14ac:dyDescent="0.3">
      <c r="D475" s="18" t="s">
        <v>122</v>
      </c>
    </row>
    <row r="476" spans="4:4" x14ac:dyDescent="0.3">
      <c r="D476" s="18" t="s">
        <v>122</v>
      </c>
    </row>
    <row r="477" spans="4:4" x14ac:dyDescent="0.3">
      <c r="D477" s="18" t="s">
        <v>122</v>
      </c>
    </row>
    <row r="478" spans="4:4" x14ac:dyDescent="0.3">
      <c r="D478" s="18" t="s">
        <v>122</v>
      </c>
    </row>
    <row r="479" spans="4:4" x14ac:dyDescent="0.3">
      <c r="D479" s="18" t="s">
        <v>122</v>
      </c>
    </row>
    <row r="480" spans="4:4" x14ac:dyDescent="0.3">
      <c r="D480" s="18" t="s">
        <v>122</v>
      </c>
    </row>
    <row r="481" spans="4:4" x14ac:dyDescent="0.3">
      <c r="D481" s="18" t="s">
        <v>122</v>
      </c>
    </row>
    <row r="482" spans="4:4" x14ac:dyDescent="0.3">
      <c r="D482" s="18" t="s">
        <v>122</v>
      </c>
    </row>
    <row r="483" spans="4:4" x14ac:dyDescent="0.3">
      <c r="D483" s="18" t="s">
        <v>122</v>
      </c>
    </row>
    <row r="484" spans="4:4" x14ac:dyDescent="0.3">
      <c r="D484" s="18" t="s">
        <v>122</v>
      </c>
    </row>
    <row r="485" spans="4:4" x14ac:dyDescent="0.3">
      <c r="D485" s="18" t="s">
        <v>122</v>
      </c>
    </row>
    <row r="486" spans="4:4" x14ac:dyDescent="0.3">
      <c r="D486" s="18" t="s">
        <v>122</v>
      </c>
    </row>
    <row r="487" spans="4:4" x14ac:dyDescent="0.3">
      <c r="D487" s="18" t="s">
        <v>122</v>
      </c>
    </row>
    <row r="488" spans="4:4" x14ac:dyDescent="0.3">
      <c r="D488" s="18" t="s">
        <v>122</v>
      </c>
    </row>
    <row r="489" spans="4:4" x14ac:dyDescent="0.3">
      <c r="D489" s="18" t="s">
        <v>122</v>
      </c>
    </row>
    <row r="490" spans="4:4" x14ac:dyDescent="0.3">
      <c r="D490" s="18" t="s">
        <v>122</v>
      </c>
    </row>
    <row r="491" spans="4:4" x14ac:dyDescent="0.3">
      <c r="D491" s="18" t="s">
        <v>122</v>
      </c>
    </row>
    <row r="492" spans="4:4" x14ac:dyDescent="0.3">
      <c r="D492" s="18" t="s">
        <v>122</v>
      </c>
    </row>
    <row r="493" spans="4:4" x14ac:dyDescent="0.3">
      <c r="D493" s="18" t="s">
        <v>122</v>
      </c>
    </row>
    <row r="494" spans="4:4" x14ac:dyDescent="0.3">
      <c r="D494" s="18" t="s">
        <v>122</v>
      </c>
    </row>
    <row r="495" spans="4:4" x14ac:dyDescent="0.3">
      <c r="D495" s="18" t="s">
        <v>122</v>
      </c>
    </row>
    <row r="496" spans="4:4" x14ac:dyDescent="0.3">
      <c r="D496" s="18" t="s">
        <v>122</v>
      </c>
    </row>
    <row r="497" spans="4:4" x14ac:dyDescent="0.3">
      <c r="D497" s="18" t="s">
        <v>122</v>
      </c>
    </row>
    <row r="498" spans="4:4" x14ac:dyDescent="0.3">
      <c r="D498" s="18" t="s">
        <v>122</v>
      </c>
    </row>
    <row r="499" spans="4:4" x14ac:dyDescent="0.3">
      <c r="D499" s="18" t="s">
        <v>122</v>
      </c>
    </row>
    <row r="500" spans="4:4" x14ac:dyDescent="0.3">
      <c r="D500" s="18" t="s">
        <v>122</v>
      </c>
    </row>
    <row r="501" spans="4:4" x14ac:dyDescent="0.3">
      <c r="D501" s="18" t="s">
        <v>122</v>
      </c>
    </row>
    <row r="502" spans="4:4" x14ac:dyDescent="0.3">
      <c r="D502" s="18" t="s">
        <v>122</v>
      </c>
    </row>
    <row r="503" spans="4:4" x14ac:dyDescent="0.3">
      <c r="D503" s="18" t="s">
        <v>122</v>
      </c>
    </row>
    <row r="504" spans="4:4" x14ac:dyDescent="0.3">
      <c r="D504" s="18" t="s">
        <v>122</v>
      </c>
    </row>
    <row r="505" spans="4:4" x14ac:dyDescent="0.3">
      <c r="D505" s="18" t="s">
        <v>122</v>
      </c>
    </row>
    <row r="506" spans="4:4" x14ac:dyDescent="0.3">
      <c r="D506" s="18" t="s">
        <v>122</v>
      </c>
    </row>
    <row r="507" spans="4:4" x14ac:dyDescent="0.3">
      <c r="D507" s="18" t="s">
        <v>122</v>
      </c>
    </row>
    <row r="508" spans="4:4" x14ac:dyDescent="0.3">
      <c r="D508" s="18" t="s">
        <v>122</v>
      </c>
    </row>
    <row r="509" spans="4:4" x14ac:dyDescent="0.3">
      <c r="D509" s="18" t="s">
        <v>122</v>
      </c>
    </row>
    <row r="510" spans="4:4" x14ac:dyDescent="0.3">
      <c r="D510" s="18" t="s">
        <v>122</v>
      </c>
    </row>
    <row r="511" spans="4:4" x14ac:dyDescent="0.3">
      <c r="D511" s="18" t="s">
        <v>122</v>
      </c>
    </row>
    <row r="512" spans="4:4" x14ac:dyDescent="0.3">
      <c r="D512" s="18" t="s">
        <v>122</v>
      </c>
    </row>
    <row r="513" spans="4:4" x14ac:dyDescent="0.3">
      <c r="D513" s="18" t="s">
        <v>122</v>
      </c>
    </row>
    <row r="514" spans="4:4" x14ac:dyDescent="0.3">
      <c r="D514" s="18" t="s">
        <v>122</v>
      </c>
    </row>
    <row r="515" spans="4:4" x14ac:dyDescent="0.3">
      <c r="D515" s="18" t="s">
        <v>122</v>
      </c>
    </row>
    <row r="516" spans="4:4" x14ac:dyDescent="0.3">
      <c r="D516" s="18" t="s">
        <v>122</v>
      </c>
    </row>
    <row r="517" spans="4:4" x14ac:dyDescent="0.3">
      <c r="D517" s="18" t="s">
        <v>122</v>
      </c>
    </row>
    <row r="518" spans="4:4" x14ac:dyDescent="0.3">
      <c r="D518" s="18" t="s">
        <v>122</v>
      </c>
    </row>
    <row r="519" spans="4:4" x14ac:dyDescent="0.3">
      <c r="D519" s="18" t="s">
        <v>122</v>
      </c>
    </row>
    <row r="520" spans="4:4" x14ac:dyDescent="0.3">
      <c r="D520" s="18" t="s">
        <v>122</v>
      </c>
    </row>
    <row r="521" spans="4:4" x14ac:dyDescent="0.3">
      <c r="D521" s="18" t="s">
        <v>122</v>
      </c>
    </row>
    <row r="522" spans="4:4" x14ac:dyDescent="0.3">
      <c r="D522" s="18" t="s">
        <v>122</v>
      </c>
    </row>
    <row r="523" spans="4:4" x14ac:dyDescent="0.3">
      <c r="D523" s="18" t="s">
        <v>122</v>
      </c>
    </row>
    <row r="524" spans="4:4" x14ac:dyDescent="0.3">
      <c r="D524" s="18" t="s">
        <v>122</v>
      </c>
    </row>
    <row r="525" spans="4:4" x14ac:dyDescent="0.3">
      <c r="D525" s="18" t="s">
        <v>122</v>
      </c>
    </row>
  </sheetData>
  <sortState xmlns:xlrd2="http://schemas.microsoft.com/office/spreadsheetml/2017/richdata2" ref="A2:C271">
    <sortCondition ref="C1:C271"/>
  </sortState>
  <dataValidations count="4">
    <dataValidation type="list" allowBlank="1" showInputMessage="1" showErrorMessage="1" sqref="G269" xr:uid="{D922E72A-49EC-4C1A-96CC-E9E45D3B6BAC}">
      <formula1>"Sim,Não,Abandonado,Lendo"</formula1>
    </dataValidation>
    <dataValidation type="list" allowBlank="1" showInputMessage="1" showErrorMessage="1" sqref="F14" xr:uid="{2C3F2100-D919-4263-B7F3-350D7CA60CDA}">
      <formula1>"Sim,Não,Abandonado,"</formula1>
    </dataValidation>
    <dataValidation type="list" allowBlank="1" showInputMessage="1" showErrorMessage="1" sqref="D526:D565" xr:uid="{607A57F6-3D35-49E7-8D43-8389D40BC0B2}">
      <formula1>"Estante,Emprestado,Biblioteca,Doado,Vendido"</formula1>
    </dataValidation>
    <dataValidation type="list" allowBlank="1" showInputMessage="1" showErrorMessage="1" sqref="D2:D525" xr:uid="{9E0BD0EA-B964-4820-8FAF-CBF5546C843B}">
      <formula1>"Estante,Emprestado,Biblioteca,Doado,Vendido,A venda,Sumiu"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E6FF-1DF3-42DA-8758-84F319CD4906}">
  <dimension ref="A1:C27"/>
  <sheetViews>
    <sheetView topLeftCell="A7" workbookViewId="0">
      <selection activeCell="B7" sqref="B7"/>
    </sheetView>
  </sheetViews>
  <sheetFormatPr defaultRowHeight="14.4" x14ac:dyDescent="0.3"/>
  <cols>
    <col min="1" max="1" width="14.33203125" bestFit="1" customWidth="1"/>
    <col min="2" max="2" width="12.109375" customWidth="1"/>
  </cols>
  <sheetData>
    <row r="1" spans="1:3" x14ac:dyDescent="0.3">
      <c r="A1" t="s">
        <v>501</v>
      </c>
      <c r="B1" t="s">
        <v>502</v>
      </c>
    </row>
    <row r="2" spans="1:3" x14ac:dyDescent="0.3">
      <c r="A2" t="s">
        <v>122</v>
      </c>
      <c r="B2">
        <f>COUNTIF('Livros na Estante'!F2:F1005,"Sim")</f>
        <v>120</v>
      </c>
      <c r="C2" s="8">
        <f>B2/$B$7</f>
        <v>0.36923076923076925</v>
      </c>
    </row>
    <row r="3" spans="1:3" x14ac:dyDescent="0.3">
      <c r="A3" t="s">
        <v>137</v>
      </c>
      <c r="B3">
        <f>COUNTIF('Livros na Estante'!F2:F1005,"Não")</f>
        <v>189</v>
      </c>
      <c r="C3" s="8">
        <f>B3/$B$7</f>
        <v>0.58153846153846156</v>
      </c>
    </row>
    <row r="4" spans="1:3" x14ac:dyDescent="0.3">
      <c r="A4" t="s">
        <v>138</v>
      </c>
      <c r="B4">
        <f>COUNTIF('Livros na Estante'!F2:F1005,"Abandonado")</f>
        <v>13</v>
      </c>
      <c r="C4" s="8">
        <f>B4/$B$7</f>
        <v>0.04</v>
      </c>
    </row>
    <row r="5" spans="1:3" x14ac:dyDescent="0.3">
      <c r="A5" t="s">
        <v>503</v>
      </c>
      <c r="B5">
        <f>COUNTIF('Livros na Estante'!F2:F1005,"Lendo")</f>
        <v>2</v>
      </c>
      <c r="C5" s="8">
        <f>B5/$B$7</f>
        <v>6.1538461538461538E-3</v>
      </c>
    </row>
    <row r="6" spans="1:3" x14ac:dyDescent="0.3">
      <c r="A6" t="s">
        <v>953</v>
      </c>
      <c r="B6">
        <f>COUNTIF('Livros na Estante'!F2:F1005,"Relendo")</f>
        <v>1</v>
      </c>
      <c r="C6" s="8">
        <f>B6/$B$7</f>
        <v>3.0769230769230769E-3</v>
      </c>
    </row>
    <row r="7" spans="1:3" x14ac:dyDescent="0.3">
      <c r="A7" t="s">
        <v>504</v>
      </c>
      <c r="B7">
        <f>SUM(B2:B6)</f>
        <v>325</v>
      </c>
      <c r="C7" s="7"/>
    </row>
    <row r="19" spans="1:3" x14ac:dyDescent="0.3">
      <c r="A19" t="s">
        <v>911</v>
      </c>
      <c r="B19" t="s">
        <v>502</v>
      </c>
      <c r="C19" t="s">
        <v>910</v>
      </c>
    </row>
    <row r="20" spans="1:3" x14ac:dyDescent="0.3">
      <c r="A20" t="s">
        <v>882</v>
      </c>
      <c r="B20">
        <f>COUNTIF(Lidos!D:D,A20)</f>
        <v>109</v>
      </c>
      <c r="C20" s="8">
        <f t="shared" ref="C20:C26" si="0">IFERROR(B20/$B$27,0)</f>
        <v>0.39636363636363636</v>
      </c>
    </row>
    <row r="21" spans="1:3" x14ac:dyDescent="0.3">
      <c r="A21" t="s">
        <v>880</v>
      </c>
      <c r="B21">
        <f>COUNTIF(Lidos!D:D,A21)</f>
        <v>68</v>
      </c>
      <c r="C21" s="8">
        <f t="shared" si="0"/>
        <v>0.24727272727272728</v>
      </c>
    </row>
    <row r="22" spans="1:3" x14ac:dyDescent="0.3">
      <c r="A22" t="s">
        <v>886</v>
      </c>
      <c r="B22">
        <f>COUNTIF(Lidos!D:D,A22)</f>
        <v>61</v>
      </c>
      <c r="C22" s="8">
        <f t="shared" si="0"/>
        <v>0.22181818181818183</v>
      </c>
    </row>
    <row r="23" spans="1:3" x14ac:dyDescent="0.3">
      <c r="A23" t="s">
        <v>881</v>
      </c>
      <c r="B23">
        <f>COUNTIF(Lidos!D:D,A23)</f>
        <v>14</v>
      </c>
      <c r="C23" s="8">
        <f t="shared" si="0"/>
        <v>5.0909090909090911E-2</v>
      </c>
    </row>
    <row r="24" spans="1:3" x14ac:dyDescent="0.3">
      <c r="A24" t="s">
        <v>883</v>
      </c>
      <c r="B24">
        <f>COUNTIF(Lidos!D:D,A24)</f>
        <v>2</v>
      </c>
      <c r="C24" s="8">
        <f t="shared" si="0"/>
        <v>7.2727272727272727E-3</v>
      </c>
    </row>
    <row r="25" spans="1:3" x14ac:dyDescent="0.3">
      <c r="A25" t="s">
        <v>885</v>
      </c>
      <c r="B25">
        <f>COUNTIF(Lidos!D:D,A25)</f>
        <v>11</v>
      </c>
      <c r="C25" s="8">
        <f t="shared" si="0"/>
        <v>0.04</v>
      </c>
    </row>
    <row r="26" spans="1:3" x14ac:dyDescent="0.3">
      <c r="A26" t="s">
        <v>884</v>
      </c>
      <c r="B26">
        <f>COUNTIF(Lidos!D:D,A26)</f>
        <v>10</v>
      </c>
      <c r="C26" s="8">
        <f t="shared" si="0"/>
        <v>3.6363636363636362E-2</v>
      </c>
    </row>
    <row r="27" spans="1:3" x14ac:dyDescent="0.3">
      <c r="A27" t="s">
        <v>504</v>
      </c>
      <c r="B27">
        <f>SUM(B20:B26)</f>
        <v>275</v>
      </c>
      <c r="C27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43C6-DE07-4EA3-80E3-B3E41C14DD66}">
  <dimension ref="A3:B14"/>
  <sheetViews>
    <sheetView workbookViewId="0">
      <selection activeCell="A5" sqref="A5"/>
    </sheetView>
  </sheetViews>
  <sheetFormatPr defaultRowHeight="14.4" x14ac:dyDescent="0.3"/>
  <cols>
    <col min="1" max="1" width="16.77734375" bestFit="1" customWidth="1"/>
    <col min="2" max="2" width="17.44140625" bestFit="1" customWidth="1"/>
  </cols>
  <sheetData>
    <row r="3" spans="1:2" x14ac:dyDescent="0.3">
      <c r="A3" s="9" t="s">
        <v>505</v>
      </c>
      <c r="B3" t="s">
        <v>508</v>
      </c>
    </row>
    <row r="4" spans="1:2" x14ac:dyDescent="0.3">
      <c r="A4" s="1">
        <v>2015</v>
      </c>
      <c r="B4" s="21">
        <v>3</v>
      </c>
    </row>
    <row r="5" spans="1:2" x14ac:dyDescent="0.3">
      <c r="A5" s="1">
        <v>2018</v>
      </c>
      <c r="B5" s="21">
        <v>10</v>
      </c>
    </row>
    <row r="6" spans="1:2" x14ac:dyDescent="0.3">
      <c r="A6" s="1">
        <v>2019</v>
      </c>
      <c r="B6" s="21">
        <v>2</v>
      </c>
    </row>
    <row r="7" spans="1:2" x14ac:dyDescent="0.3">
      <c r="A7" s="1">
        <v>2020</v>
      </c>
      <c r="B7" s="21">
        <v>8</v>
      </c>
    </row>
    <row r="8" spans="1:2" x14ac:dyDescent="0.3">
      <c r="A8" s="1">
        <v>2022</v>
      </c>
      <c r="B8" s="21">
        <v>10</v>
      </c>
    </row>
    <row r="9" spans="1:2" x14ac:dyDescent="0.3">
      <c r="A9" s="1">
        <v>2023</v>
      </c>
      <c r="B9" s="21">
        <v>45</v>
      </c>
    </row>
    <row r="10" spans="1:2" x14ac:dyDescent="0.3">
      <c r="A10" s="1">
        <v>2024</v>
      </c>
      <c r="B10" s="21">
        <v>7</v>
      </c>
    </row>
    <row r="11" spans="1:2" x14ac:dyDescent="0.3">
      <c r="A11" s="1">
        <v>2025</v>
      </c>
      <c r="B11" s="21">
        <v>15</v>
      </c>
    </row>
    <row r="12" spans="1:2" x14ac:dyDescent="0.3">
      <c r="A12" s="1">
        <v>2026</v>
      </c>
      <c r="B12" s="21">
        <v>76</v>
      </c>
    </row>
    <row r="13" spans="1:2" x14ac:dyDescent="0.3">
      <c r="A13" s="1" t="s">
        <v>506</v>
      </c>
      <c r="B13" s="21">
        <v>149</v>
      </c>
    </row>
    <row r="14" spans="1:2" x14ac:dyDescent="0.3">
      <c r="A14" s="1" t="s">
        <v>507</v>
      </c>
      <c r="B14" s="21">
        <v>325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C55-B4BA-4F13-84BC-96E07C2EFDC4}">
  <dimension ref="A3:B161"/>
  <sheetViews>
    <sheetView tabSelected="1" topLeftCell="A58" workbookViewId="0">
      <selection activeCell="B66" sqref="B66"/>
    </sheetView>
  </sheetViews>
  <sheetFormatPr defaultRowHeight="14.4" x14ac:dyDescent="0.3"/>
  <cols>
    <col min="1" max="1" width="36.6640625" bestFit="1" customWidth="1"/>
    <col min="2" max="2" width="17.44140625" bestFit="1" customWidth="1"/>
  </cols>
  <sheetData>
    <row r="3" spans="1:2" x14ac:dyDescent="0.3">
      <c r="A3" s="9" t="s">
        <v>505</v>
      </c>
      <c r="B3" t="s">
        <v>508</v>
      </c>
    </row>
    <row r="4" spans="1:2" x14ac:dyDescent="0.3">
      <c r="A4" s="1" t="s">
        <v>108</v>
      </c>
      <c r="B4" s="21">
        <v>1</v>
      </c>
    </row>
    <row r="5" spans="1:2" x14ac:dyDescent="0.3">
      <c r="A5" s="1" t="s">
        <v>402</v>
      </c>
      <c r="B5" s="21">
        <v>1</v>
      </c>
    </row>
    <row r="6" spans="1:2" x14ac:dyDescent="0.3">
      <c r="A6" s="1" t="s">
        <v>260</v>
      </c>
      <c r="B6" s="21">
        <v>7</v>
      </c>
    </row>
    <row r="7" spans="1:2" x14ac:dyDescent="0.3">
      <c r="A7" s="1" t="s">
        <v>386</v>
      </c>
      <c r="B7" s="21">
        <v>5</v>
      </c>
    </row>
    <row r="8" spans="1:2" x14ac:dyDescent="0.3">
      <c r="A8" s="1" t="s">
        <v>382</v>
      </c>
      <c r="B8" s="21">
        <v>1</v>
      </c>
    </row>
    <row r="9" spans="1:2" x14ac:dyDescent="0.3">
      <c r="A9" s="1" t="s">
        <v>480</v>
      </c>
      <c r="B9" s="21">
        <v>1</v>
      </c>
    </row>
    <row r="10" spans="1:2" x14ac:dyDescent="0.3">
      <c r="A10" s="1" t="s">
        <v>237</v>
      </c>
      <c r="B10" s="21">
        <v>1</v>
      </c>
    </row>
    <row r="11" spans="1:2" x14ac:dyDescent="0.3">
      <c r="A11" s="1" t="s">
        <v>245</v>
      </c>
      <c r="B11" s="21">
        <v>2</v>
      </c>
    </row>
    <row r="12" spans="1:2" x14ac:dyDescent="0.3">
      <c r="A12" s="1" t="s">
        <v>428</v>
      </c>
      <c r="B12" s="21">
        <v>1</v>
      </c>
    </row>
    <row r="13" spans="1:2" x14ac:dyDescent="0.3">
      <c r="A13" s="1" t="s">
        <v>416</v>
      </c>
      <c r="B13" s="21">
        <v>1</v>
      </c>
    </row>
    <row r="14" spans="1:2" x14ac:dyDescent="0.3">
      <c r="A14" s="1" t="s">
        <v>417</v>
      </c>
      <c r="B14" s="21">
        <v>1</v>
      </c>
    </row>
    <row r="15" spans="1:2" x14ac:dyDescent="0.3">
      <c r="A15" s="1" t="s">
        <v>90</v>
      </c>
      <c r="B15" s="21">
        <v>10</v>
      </c>
    </row>
    <row r="16" spans="1:2" x14ac:dyDescent="0.3">
      <c r="A16" s="1" t="s">
        <v>401</v>
      </c>
      <c r="B16" s="21">
        <v>1</v>
      </c>
    </row>
    <row r="17" spans="1:2" x14ac:dyDescent="0.3">
      <c r="A17" s="1" t="s">
        <v>419</v>
      </c>
      <c r="B17" s="21">
        <v>1</v>
      </c>
    </row>
    <row r="18" spans="1:2" x14ac:dyDescent="0.3">
      <c r="A18" s="1" t="s">
        <v>117</v>
      </c>
      <c r="B18" s="21">
        <v>1</v>
      </c>
    </row>
    <row r="19" spans="1:2" x14ac:dyDescent="0.3">
      <c r="A19" s="1" t="s">
        <v>384</v>
      </c>
      <c r="B19" s="21">
        <v>1</v>
      </c>
    </row>
    <row r="20" spans="1:2" x14ac:dyDescent="0.3">
      <c r="A20" s="1" t="s">
        <v>239</v>
      </c>
      <c r="B20" s="21">
        <v>1</v>
      </c>
    </row>
    <row r="21" spans="1:2" x14ac:dyDescent="0.3">
      <c r="A21" s="1" t="s">
        <v>499</v>
      </c>
      <c r="B21" s="21">
        <v>1</v>
      </c>
    </row>
    <row r="22" spans="1:2" x14ac:dyDescent="0.3">
      <c r="A22" s="1" t="s">
        <v>232</v>
      </c>
      <c r="B22" s="21">
        <v>1</v>
      </c>
    </row>
    <row r="23" spans="1:2" x14ac:dyDescent="0.3">
      <c r="A23" s="1" t="s">
        <v>430</v>
      </c>
      <c r="B23" s="21">
        <v>1</v>
      </c>
    </row>
    <row r="24" spans="1:2" x14ac:dyDescent="0.3">
      <c r="A24" s="1" t="s">
        <v>114</v>
      </c>
      <c r="B24" s="21">
        <v>1</v>
      </c>
    </row>
    <row r="25" spans="1:2" x14ac:dyDescent="0.3">
      <c r="A25" s="1" t="s">
        <v>400</v>
      </c>
      <c r="B25" s="21">
        <v>1</v>
      </c>
    </row>
    <row r="26" spans="1:2" x14ac:dyDescent="0.3">
      <c r="A26" s="1" t="s">
        <v>426</v>
      </c>
      <c r="B26" s="21">
        <v>1</v>
      </c>
    </row>
    <row r="27" spans="1:2" x14ac:dyDescent="0.3">
      <c r="A27" s="1" t="s">
        <v>263</v>
      </c>
      <c r="B27" s="21">
        <v>1</v>
      </c>
    </row>
    <row r="28" spans="1:2" x14ac:dyDescent="0.3">
      <c r="A28" s="1" t="s">
        <v>267</v>
      </c>
      <c r="B28" s="21">
        <v>1</v>
      </c>
    </row>
    <row r="29" spans="1:2" x14ac:dyDescent="0.3">
      <c r="A29" s="1" t="s">
        <v>393</v>
      </c>
      <c r="B29" s="21">
        <v>1</v>
      </c>
    </row>
    <row r="30" spans="1:2" x14ac:dyDescent="0.3">
      <c r="A30" s="1" t="s">
        <v>242</v>
      </c>
      <c r="B30" s="21">
        <v>2</v>
      </c>
    </row>
    <row r="31" spans="1:2" x14ac:dyDescent="0.3">
      <c r="A31" s="1" t="s">
        <v>118</v>
      </c>
      <c r="B31" s="21">
        <v>1</v>
      </c>
    </row>
    <row r="32" spans="1:2" x14ac:dyDescent="0.3">
      <c r="A32" s="1" t="s">
        <v>112</v>
      </c>
      <c r="B32" s="21">
        <v>1</v>
      </c>
    </row>
    <row r="33" spans="1:2" x14ac:dyDescent="0.3">
      <c r="A33" s="1" t="s">
        <v>107</v>
      </c>
      <c r="B33" s="21">
        <v>1</v>
      </c>
    </row>
    <row r="34" spans="1:2" x14ac:dyDescent="0.3">
      <c r="A34" s="1" t="s">
        <v>411</v>
      </c>
      <c r="B34" s="21">
        <v>1</v>
      </c>
    </row>
    <row r="35" spans="1:2" x14ac:dyDescent="0.3">
      <c r="A35" s="1" t="s">
        <v>388</v>
      </c>
      <c r="B35" s="21">
        <v>2</v>
      </c>
    </row>
    <row r="36" spans="1:2" x14ac:dyDescent="0.3">
      <c r="A36" s="1" t="s">
        <v>421</v>
      </c>
      <c r="B36" s="21">
        <v>1</v>
      </c>
    </row>
    <row r="37" spans="1:2" x14ac:dyDescent="0.3">
      <c r="A37" s="1" t="s">
        <v>91</v>
      </c>
      <c r="B37" s="21">
        <v>1</v>
      </c>
    </row>
    <row r="38" spans="1:2" x14ac:dyDescent="0.3">
      <c r="A38" s="1" t="s">
        <v>385</v>
      </c>
      <c r="B38" s="21">
        <v>1</v>
      </c>
    </row>
    <row r="39" spans="1:2" x14ac:dyDescent="0.3">
      <c r="A39" s="1" t="s">
        <v>436</v>
      </c>
      <c r="B39" s="21">
        <v>3</v>
      </c>
    </row>
    <row r="40" spans="1:2" x14ac:dyDescent="0.3">
      <c r="A40" s="1" t="s">
        <v>377</v>
      </c>
      <c r="B40" s="21">
        <v>5</v>
      </c>
    </row>
    <row r="41" spans="1:2" x14ac:dyDescent="0.3">
      <c r="A41" s="1" t="s">
        <v>407</v>
      </c>
      <c r="B41" s="21">
        <v>3</v>
      </c>
    </row>
    <row r="42" spans="1:2" x14ac:dyDescent="0.3">
      <c r="A42" s="1" t="s">
        <v>84</v>
      </c>
      <c r="B42" s="21">
        <v>2</v>
      </c>
    </row>
    <row r="43" spans="1:2" x14ac:dyDescent="0.3">
      <c r="A43" s="1" t="s">
        <v>398</v>
      </c>
      <c r="B43" s="21">
        <v>2</v>
      </c>
    </row>
    <row r="44" spans="1:2" x14ac:dyDescent="0.3">
      <c r="A44" s="1" t="s">
        <v>231</v>
      </c>
      <c r="B44" s="21">
        <v>1</v>
      </c>
    </row>
    <row r="45" spans="1:2" x14ac:dyDescent="0.3">
      <c r="A45" s="1" t="s">
        <v>253</v>
      </c>
      <c r="B45" s="21">
        <v>1</v>
      </c>
    </row>
    <row r="46" spans="1:2" x14ac:dyDescent="0.3">
      <c r="A46" s="1" t="s">
        <v>88</v>
      </c>
      <c r="B46" s="21">
        <v>1</v>
      </c>
    </row>
    <row r="47" spans="1:2" x14ac:dyDescent="0.3">
      <c r="A47" s="1" t="s">
        <v>111</v>
      </c>
      <c r="B47" s="21">
        <v>1</v>
      </c>
    </row>
    <row r="48" spans="1:2" x14ac:dyDescent="0.3">
      <c r="A48" s="1" t="s">
        <v>119</v>
      </c>
      <c r="B48" s="21">
        <v>1</v>
      </c>
    </row>
    <row r="49" spans="1:2" x14ac:dyDescent="0.3">
      <c r="A49" s="1" t="s">
        <v>94</v>
      </c>
      <c r="B49" s="21">
        <v>3</v>
      </c>
    </row>
    <row r="50" spans="1:2" x14ac:dyDescent="0.3">
      <c r="A50" s="1" t="s">
        <v>397</v>
      </c>
      <c r="B50" s="21">
        <v>2</v>
      </c>
    </row>
    <row r="51" spans="1:2" x14ac:dyDescent="0.3">
      <c r="A51" s="1" t="s">
        <v>427</v>
      </c>
      <c r="B51" s="21">
        <v>1</v>
      </c>
    </row>
    <row r="52" spans="1:2" x14ac:dyDescent="0.3">
      <c r="A52" s="1" t="s">
        <v>250</v>
      </c>
      <c r="B52" s="21">
        <v>3</v>
      </c>
    </row>
    <row r="53" spans="1:2" x14ac:dyDescent="0.3">
      <c r="A53" s="1" t="s">
        <v>251</v>
      </c>
      <c r="B53" s="21">
        <v>1</v>
      </c>
    </row>
    <row r="54" spans="1:2" x14ac:dyDescent="0.3">
      <c r="A54" s="1" t="s">
        <v>434</v>
      </c>
      <c r="B54" s="21">
        <v>1</v>
      </c>
    </row>
    <row r="55" spans="1:2" x14ac:dyDescent="0.3">
      <c r="A55" s="1" t="s">
        <v>395</v>
      </c>
      <c r="B55" s="21">
        <v>2</v>
      </c>
    </row>
    <row r="56" spans="1:2" x14ac:dyDescent="0.3">
      <c r="A56" s="1" t="s">
        <v>82</v>
      </c>
      <c r="B56" s="21">
        <v>2</v>
      </c>
    </row>
    <row r="57" spans="1:2" x14ac:dyDescent="0.3">
      <c r="A57" s="1" t="s">
        <v>424</v>
      </c>
      <c r="B57" s="21">
        <v>1</v>
      </c>
    </row>
    <row r="58" spans="1:2" x14ac:dyDescent="0.3">
      <c r="A58" s="1" t="s">
        <v>101</v>
      </c>
      <c r="B58" s="21">
        <v>1</v>
      </c>
    </row>
    <row r="59" spans="1:2" x14ac:dyDescent="0.3">
      <c r="A59" s="1" t="s">
        <v>97</v>
      </c>
      <c r="B59" s="21">
        <v>5</v>
      </c>
    </row>
    <row r="60" spans="1:2" x14ac:dyDescent="0.3">
      <c r="A60" s="1" t="s">
        <v>235</v>
      </c>
      <c r="B60" s="21">
        <v>1</v>
      </c>
    </row>
    <row r="61" spans="1:2" x14ac:dyDescent="0.3">
      <c r="A61" s="1" t="s">
        <v>92</v>
      </c>
      <c r="B61" s="21">
        <v>2</v>
      </c>
    </row>
    <row r="62" spans="1:2" x14ac:dyDescent="0.3">
      <c r="A62" s="1" t="s">
        <v>254</v>
      </c>
      <c r="B62" s="21">
        <v>1</v>
      </c>
    </row>
    <row r="63" spans="1:2" x14ac:dyDescent="0.3">
      <c r="A63" s="1" t="s">
        <v>420</v>
      </c>
      <c r="B63" s="21">
        <v>1</v>
      </c>
    </row>
    <row r="64" spans="1:2" x14ac:dyDescent="0.3">
      <c r="A64" s="1" t="s">
        <v>243</v>
      </c>
      <c r="B64" s="21">
        <v>3</v>
      </c>
    </row>
    <row r="65" spans="1:2" x14ac:dyDescent="0.3">
      <c r="A65" s="1" t="s">
        <v>491</v>
      </c>
      <c r="B65" s="21">
        <v>4</v>
      </c>
    </row>
    <row r="66" spans="1:2" x14ac:dyDescent="0.3">
      <c r="A66" s="1" t="s">
        <v>89</v>
      </c>
      <c r="B66" s="21">
        <v>2</v>
      </c>
    </row>
    <row r="67" spans="1:2" x14ac:dyDescent="0.3">
      <c r="A67" s="1" t="s">
        <v>394</v>
      </c>
      <c r="B67" s="21">
        <v>1</v>
      </c>
    </row>
    <row r="68" spans="1:2" x14ac:dyDescent="0.3">
      <c r="A68" s="1" t="s">
        <v>429</v>
      </c>
      <c r="B68" s="21">
        <v>1</v>
      </c>
    </row>
    <row r="69" spans="1:2" x14ac:dyDescent="0.3">
      <c r="A69" s="1" t="s">
        <v>87</v>
      </c>
      <c r="B69" s="21">
        <v>2</v>
      </c>
    </row>
    <row r="70" spans="1:2" x14ac:dyDescent="0.3">
      <c r="A70" s="1" t="s">
        <v>95</v>
      </c>
      <c r="B70" s="21">
        <v>2</v>
      </c>
    </row>
    <row r="71" spans="1:2" x14ac:dyDescent="0.3">
      <c r="A71" s="1" t="s">
        <v>238</v>
      </c>
      <c r="B71" s="21">
        <v>18</v>
      </c>
    </row>
    <row r="72" spans="1:2" x14ac:dyDescent="0.3">
      <c r="A72" s="1" t="s">
        <v>387</v>
      </c>
      <c r="B72" s="21">
        <v>17</v>
      </c>
    </row>
    <row r="73" spans="1:2" x14ac:dyDescent="0.3">
      <c r="A73" s="1" t="s">
        <v>233</v>
      </c>
      <c r="B73" s="21">
        <v>1</v>
      </c>
    </row>
    <row r="74" spans="1:2" x14ac:dyDescent="0.3">
      <c r="A74" s="1" t="s">
        <v>100</v>
      </c>
      <c r="B74" s="21">
        <v>2</v>
      </c>
    </row>
    <row r="75" spans="1:2" x14ac:dyDescent="0.3">
      <c r="A75" s="1" t="s">
        <v>396</v>
      </c>
      <c r="B75" s="21">
        <v>1</v>
      </c>
    </row>
    <row r="76" spans="1:2" x14ac:dyDescent="0.3">
      <c r="A76" s="1" t="s">
        <v>244</v>
      </c>
      <c r="B76" s="21">
        <v>2</v>
      </c>
    </row>
    <row r="77" spans="1:2" x14ac:dyDescent="0.3">
      <c r="A77" s="1" t="s">
        <v>413</v>
      </c>
      <c r="B77" s="21">
        <v>5</v>
      </c>
    </row>
    <row r="78" spans="1:2" x14ac:dyDescent="0.3">
      <c r="A78" s="1" t="s">
        <v>110</v>
      </c>
      <c r="B78" s="21">
        <v>1</v>
      </c>
    </row>
    <row r="79" spans="1:2" x14ac:dyDescent="0.3">
      <c r="A79" s="1" t="s">
        <v>99</v>
      </c>
      <c r="B79" s="21">
        <v>2</v>
      </c>
    </row>
    <row r="80" spans="1:2" x14ac:dyDescent="0.3">
      <c r="A80" s="1" t="s">
        <v>256</v>
      </c>
      <c r="B80" s="21">
        <v>1</v>
      </c>
    </row>
    <row r="81" spans="1:2" x14ac:dyDescent="0.3">
      <c r="A81" s="1" t="s">
        <v>266</v>
      </c>
      <c r="B81" s="21">
        <v>1</v>
      </c>
    </row>
    <row r="82" spans="1:2" x14ac:dyDescent="0.3">
      <c r="A82" s="1" t="s">
        <v>109</v>
      </c>
      <c r="B82" s="21">
        <v>1</v>
      </c>
    </row>
    <row r="83" spans="1:2" x14ac:dyDescent="0.3">
      <c r="A83" s="1" t="s">
        <v>478</v>
      </c>
      <c r="B83" s="21">
        <v>1</v>
      </c>
    </row>
    <row r="84" spans="1:2" x14ac:dyDescent="0.3">
      <c r="A84" s="1" t="s">
        <v>113</v>
      </c>
      <c r="B84" s="21">
        <v>1</v>
      </c>
    </row>
    <row r="85" spans="1:2" x14ac:dyDescent="0.3">
      <c r="A85" s="1" t="s">
        <v>83</v>
      </c>
      <c r="B85" s="21">
        <v>2</v>
      </c>
    </row>
    <row r="86" spans="1:2" x14ac:dyDescent="0.3">
      <c r="A86" s="1" t="s">
        <v>392</v>
      </c>
      <c r="B86" s="21">
        <v>2</v>
      </c>
    </row>
    <row r="87" spans="1:2" x14ac:dyDescent="0.3">
      <c r="A87" s="1" t="s">
        <v>240</v>
      </c>
      <c r="B87" s="21">
        <v>6</v>
      </c>
    </row>
    <row r="88" spans="1:2" x14ac:dyDescent="0.3">
      <c r="A88" s="1" t="s">
        <v>390</v>
      </c>
      <c r="B88" s="21">
        <v>1</v>
      </c>
    </row>
    <row r="89" spans="1:2" x14ac:dyDescent="0.3">
      <c r="A89" s="1" t="s">
        <v>102</v>
      </c>
      <c r="B89" s="21">
        <v>1</v>
      </c>
    </row>
    <row r="90" spans="1:2" x14ac:dyDescent="0.3">
      <c r="A90" s="1" t="s">
        <v>404</v>
      </c>
      <c r="B90" s="21">
        <v>1</v>
      </c>
    </row>
    <row r="91" spans="1:2" x14ac:dyDescent="0.3">
      <c r="A91" s="1" t="s">
        <v>381</v>
      </c>
      <c r="B91" s="21">
        <v>1</v>
      </c>
    </row>
    <row r="92" spans="1:2" x14ac:dyDescent="0.3">
      <c r="A92" s="1" t="s">
        <v>399</v>
      </c>
      <c r="B92" s="21">
        <v>1</v>
      </c>
    </row>
    <row r="93" spans="1:2" x14ac:dyDescent="0.3">
      <c r="A93" s="1" t="s">
        <v>265</v>
      </c>
      <c r="B93" s="21">
        <v>1</v>
      </c>
    </row>
    <row r="94" spans="1:2" x14ac:dyDescent="0.3">
      <c r="A94" s="1" t="s">
        <v>391</v>
      </c>
      <c r="B94" s="21">
        <v>1</v>
      </c>
    </row>
    <row r="95" spans="1:2" x14ac:dyDescent="0.3">
      <c r="A95" s="1" t="s">
        <v>423</v>
      </c>
      <c r="B95" s="21">
        <v>1</v>
      </c>
    </row>
    <row r="96" spans="1:2" x14ac:dyDescent="0.3">
      <c r="A96" s="1" t="s">
        <v>405</v>
      </c>
      <c r="B96" s="21">
        <v>2</v>
      </c>
    </row>
    <row r="97" spans="1:2" x14ac:dyDescent="0.3">
      <c r="A97" s="1" t="s">
        <v>85</v>
      </c>
      <c r="B97" s="21">
        <v>1</v>
      </c>
    </row>
    <row r="98" spans="1:2" x14ac:dyDescent="0.3">
      <c r="A98" s="1" t="s">
        <v>409</v>
      </c>
      <c r="B98" s="21">
        <v>1</v>
      </c>
    </row>
    <row r="99" spans="1:2" x14ac:dyDescent="0.3">
      <c r="A99" s="1" t="s">
        <v>86</v>
      </c>
      <c r="B99" s="21">
        <v>2</v>
      </c>
    </row>
    <row r="100" spans="1:2" x14ac:dyDescent="0.3">
      <c r="A100" s="1" t="s">
        <v>96</v>
      </c>
      <c r="B100" s="21">
        <v>4</v>
      </c>
    </row>
    <row r="101" spans="1:2" x14ac:dyDescent="0.3">
      <c r="A101" s="1" t="s">
        <v>486</v>
      </c>
      <c r="B101" s="21">
        <v>1</v>
      </c>
    </row>
    <row r="102" spans="1:2" x14ac:dyDescent="0.3">
      <c r="A102" s="1" t="s">
        <v>248</v>
      </c>
      <c r="B102" s="21">
        <v>1</v>
      </c>
    </row>
    <row r="103" spans="1:2" x14ac:dyDescent="0.3">
      <c r="A103" s="1" t="s">
        <v>115</v>
      </c>
      <c r="B103" s="21">
        <v>1</v>
      </c>
    </row>
    <row r="104" spans="1:2" x14ac:dyDescent="0.3">
      <c r="A104" s="1" t="s">
        <v>489</v>
      </c>
      <c r="B104" s="21">
        <v>1</v>
      </c>
    </row>
    <row r="105" spans="1:2" x14ac:dyDescent="0.3">
      <c r="A105" s="1" t="s">
        <v>379</v>
      </c>
      <c r="B105" s="21">
        <v>2</v>
      </c>
    </row>
    <row r="106" spans="1:2" x14ac:dyDescent="0.3">
      <c r="A106" s="1" t="s">
        <v>476</v>
      </c>
      <c r="B106" s="21">
        <v>1</v>
      </c>
    </row>
    <row r="107" spans="1:2" x14ac:dyDescent="0.3">
      <c r="A107" s="1" t="s">
        <v>264</v>
      </c>
      <c r="B107" s="21">
        <v>4</v>
      </c>
    </row>
    <row r="108" spans="1:2" x14ac:dyDescent="0.3">
      <c r="A108" s="1" t="s">
        <v>228</v>
      </c>
      <c r="B108" s="21">
        <v>3</v>
      </c>
    </row>
    <row r="109" spans="1:2" x14ac:dyDescent="0.3">
      <c r="A109" s="1" t="s">
        <v>230</v>
      </c>
      <c r="B109" s="21">
        <v>1</v>
      </c>
    </row>
    <row r="110" spans="1:2" x14ac:dyDescent="0.3">
      <c r="A110" s="1" t="s">
        <v>431</v>
      </c>
      <c r="B110" s="21">
        <v>2</v>
      </c>
    </row>
    <row r="111" spans="1:2" x14ac:dyDescent="0.3">
      <c r="A111" s="1" t="s">
        <v>425</v>
      </c>
      <c r="B111" s="21">
        <v>1</v>
      </c>
    </row>
    <row r="112" spans="1:2" x14ac:dyDescent="0.3">
      <c r="A112" s="1" t="s">
        <v>104</v>
      </c>
      <c r="B112" s="21">
        <v>1</v>
      </c>
    </row>
    <row r="113" spans="1:2" x14ac:dyDescent="0.3">
      <c r="A113" s="1" t="s">
        <v>403</v>
      </c>
      <c r="B113" s="21">
        <v>1</v>
      </c>
    </row>
    <row r="114" spans="1:2" x14ac:dyDescent="0.3">
      <c r="A114" s="1" t="s">
        <v>234</v>
      </c>
      <c r="B114" s="21">
        <v>1</v>
      </c>
    </row>
    <row r="115" spans="1:2" x14ac:dyDescent="0.3">
      <c r="A115" s="1" t="s">
        <v>389</v>
      </c>
      <c r="B115" s="21">
        <v>1</v>
      </c>
    </row>
    <row r="116" spans="1:2" x14ac:dyDescent="0.3">
      <c r="A116" s="1" t="s">
        <v>249</v>
      </c>
      <c r="B116" s="21">
        <v>2</v>
      </c>
    </row>
    <row r="117" spans="1:2" x14ac:dyDescent="0.3">
      <c r="A117" s="1" t="s">
        <v>408</v>
      </c>
      <c r="B117" s="21">
        <v>1</v>
      </c>
    </row>
    <row r="118" spans="1:2" x14ac:dyDescent="0.3">
      <c r="A118" s="1" t="s">
        <v>103</v>
      </c>
      <c r="B118" s="21">
        <v>1</v>
      </c>
    </row>
    <row r="119" spans="1:2" x14ac:dyDescent="0.3">
      <c r="A119" s="1" t="s">
        <v>247</v>
      </c>
      <c r="B119" s="21">
        <v>1</v>
      </c>
    </row>
    <row r="120" spans="1:2" x14ac:dyDescent="0.3">
      <c r="A120" s="1" t="s">
        <v>414</v>
      </c>
      <c r="B120" s="21">
        <v>1</v>
      </c>
    </row>
    <row r="121" spans="1:2" x14ac:dyDescent="0.3">
      <c r="A121" s="1" t="s">
        <v>259</v>
      </c>
      <c r="B121" s="21">
        <v>4</v>
      </c>
    </row>
    <row r="122" spans="1:2" x14ac:dyDescent="0.3">
      <c r="A122" s="1" t="s">
        <v>116</v>
      </c>
      <c r="B122" s="21">
        <v>2</v>
      </c>
    </row>
    <row r="123" spans="1:2" x14ac:dyDescent="0.3">
      <c r="A123" s="1" t="s">
        <v>258</v>
      </c>
      <c r="B123" s="21">
        <v>2</v>
      </c>
    </row>
    <row r="124" spans="1:2" x14ac:dyDescent="0.3">
      <c r="A124" s="1" t="s">
        <v>261</v>
      </c>
      <c r="B124" s="21">
        <v>5</v>
      </c>
    </row>
    <row r="125" spans="1:2" x14ac:dyDescent="0.3">
      <c r="A125" s="1" t="s">
        <v>383</v>
      </c>
      <c r="B125" s="21">
        <v>1</v>
      </c>
    </row>
    <row r="126" spans="1:2" x14ac:dyDescent="0.3">
      <c r="A126" s="1" t="s">
        <v>339</v>
      </c>
      <c r="B126" s="21">
        <v>1</v>
      </c>
    </row>
    <row r="127" spans="1:2" x14ac:dyDescent="0.3">
      <c r="A127" s="1" t="s">
        <v>422</v>
      </c>
      <c r="B127" s="21">
        <v>1</v>
      </c>
    </row>
    <row r="128" spans="1:2" x14ac:dyDescent="0.3">
      <c r="A128" s="1" t="s">
        <v>257</v>
      </c>
      <c r="B128" s="21">
        <v>10</v>
      </c>
    </row>
    <row r="129" spans="1:2" x14ac:dyDescent="0.3">
      <c r="A129" s="1" t="s">
        <v>412</v>
      </c>
      <c r="B129" s="21">
        <v>1</v>
      </c>
    </row>
    <row r="130" spans="1:2" x14ac:dyDescent="0.3">
      <c r="A130" s="1" t="s">
        <v>406</v>
      </c>
      <c r="B130" s="21">
        <v>4</v>
      </c>
    </row>
    <row r="131" spans="1:2" x14ac:dyDescent="0.3">
      <c r="A131" s="1" t="s">
        <v>229</v>
      </c>
      <c r="B131" s="21">
        <v>2</v>
      </c>
    </row>
    <row r="132" spans="1:2" x14ac:dyDescent="0.3">
      <c r="A132" s="1" t="s">
        <v>374</v>
      </c>
      <c r="B132" s="21">
        <v>1</v>
      </c>
    </row>
    <row r="133" spans="1:2" x14ac:dyDescent="0.3">
      <c r="A133" s="1" t="s">
        <v>106</v>
      </c>
      <c r="B133" s="21">
        <v>1</v>
      </c>
    </row>
    <row r="134" spans="1:2" x14ac:dyDescent="0.3">
      <c r="A134" s="1" t="s">
        <v>475</v>
      </c>
      <c r="B134" s="21">
        <v>1</v>
      </c>
    </row>
    <row r="135" spans="1:2" x14ac:dyDescent="0.3">
      <c r="A135" s="1" t="s">
        <v>236</v>
      </c>
      <c r="B135" s="21">
        <v>1</v>
      </c>
    </row>
    <row r="136" spans="1:2" x14ac:dyDescent="0.3">
      <c r="A136" s="1" t="s">
        <v>432</v>
      </c>
      <c r="B136" s="21">
        <v>1</v>
      </c>
    </row>
    <row r="137" spans="1:2" x14ac:dyDescent="0.3">
      <c r="A137" s="1" t="s">
        <v>262</v>
      </c>
      <c r="B137" s="21">
        <v>2</v>
      </c>
    </row>
    <row r="138" spans="1:2" x14ac:dyDescent="0.3">
      <c r="A138" s="1" t="s">
        <v>380</v>
      </c>
      <c r="B138" s="21">
        <v>3</v>
      </c>
    </row>
    <row r="139" spans="1:2" x14ac:dyDescent="0.3">
      <c r="A139" s="1" t="s">
        <v>105</v>
      </c>
      <c r="B139" s="21">
        <v>2</v>
      </c>
    </row>
    <row r="140" spans="1:2" x14ac:dyDescent="0.3">
      <c r="A140" s="1" t="s">
        <v>120</v>
      </c>
      <c r="B140" s="21">
        <v>1</v>
      </c>
    </row>
    <row r="141" spans="1:2" x14ac:dyDescent="0.3">
      <c r="A141" s="1" t="s">
        <v>490</v>
      </c>
      <c r="B141" s="21">
        <v>1</v>
      </c>
    </row>
    <row r="142" spans="1:2" x14ac:dyDescent="0.3">
      <c r="A142" s="1" t="s">
        <v>34</v>
      </c>
      <c r="B142" s="21">
        <v>1</v>
      </c>
    </row>
    <row r="143" spans="1:2" x14ac:dyDescent="0.3">
      <c r="A143" s="1" t="s">
        <v>378</v>
      </c>
      <c r="B143" s="21">
        <v>2</v>
      </c>
    </row>
    <row r="144" spans="1:2" x14ac:dyDescent="0.3">
      <c r="A144" s="1" t="s">
        <v>93</v>
      </c>
      <c r="B144" s="21">
        <v>4</v>
      </c>
    </row>
    <row r="145" spans="1:2" x14ac:dyDescent="0.3">
      <c r="A145" s="1" t="s">
        <v>255</v>
      </c>
      <c r="B145" s="21">
        <v>1</v>
      </c>
    </row>
    <row r="146" spans="1:2" x14ac:dyDescent="0.3">
      <c r="A146" s="1" t="s">
        <v>252</v>
      </c>
      <c r="B146" s="21">
        <v>1</v>
      </c>
    </row>
    <row r="147" spans="1:2" x14ac:dyDescent="0.3">
      <c r="A147" s="1" t="s">
        <v>268</v>
      </c>
      <c r="B147" s="21">
        <v>1</v>
      </c>
    </row>
    <row r="148" spans="1:2" x14ac:dyDescent="0.3">
      <c r="A148" s="1" t="s">
        <v>246</v>
      </c>
      <c r="B148" s="21">
        <v>2</v>
      </c>
    </row>
    <row r="149" spans="1:2" x14ac:dyDescent="0.3">
      <c r="A149" s="1" t="s">
        <v>98</v>
      </c>
      <c r="B149" s="21">
        <v>1</v>
      </c>
    </row>
    <row r="150" spans="1:2" x14ac:dyDescent="0.3">
      <c r="A150" s="1" t="s">
        <v>241</v>
      </c>
      <c r="B150" s="21">
        <v>1</v>
      </c>
    </row>
    <row r="151" spans="1:2" x14ac:dyDescent="0.3">
      <c r="A151" s="1" t="s">
        <v>410</v>
      </c>
      <c r="B151" s="21">
        <v>1</v>
      </c>
    </row>
    <row r="152" spans="1:2" x14ac:dyDescent="0.3">
      <c r="A152" s="1" t="s">
        <v>506</v>
      </c>
      <c r="B152" s="21"/>
    </row>
    <row r="153" spans="1:2" x14ac:dyDescent="0.3">
      <c r="A153" s="1" t="s">
        <v>509</v>
      </c>
      <c r="B153" s="21">
        <v>2</v>
      </c>
    </row>
    <row r="154" spans="1:2" x14ac:dyDescent="0.3">
      <c r="A154" s="1" t="s">
        <v>510</v>
      </c>
      <c r="B154" s="21">
        <v>5</v>
      </c>
    </row>
    <row r="155" spans="1:2" x14ac:dyDescent="0.3">
      <c r="A155" s="1" t="s">
        <v>524</v>
      </c>
      <c r="B155" s="21">
        <v>1</v>
      </c>
    </row>
    <row r="156" spans="1:2" x14ac:dyDescent="0.3">
      <c r="A156" s="1" t="s">
        <v>822</v>
      </c>
      <c r="B156" s="21">
        <v>1</v>
      </c>
    </row>
    <row r="157" spans="1:2" x14ac:dyDescent="0.3">
      <c r="A157" s="1" t="s">
        <v>935</v>
      </c>
      <c r="B157" s="21">
        <v>1</v>
      </c>
    </row>
    <row r="158" spans="1:2" x14ac:dyDescent="0.3">
      <c r="A158" s="1" t="s">
        <v>936</v>
      </c>
      <c r="B158" s="21">
        <v>1</v>
      </c>
    </row>
    <row r="159" spans="1:2" x14ac:dyDescent="0.3">
      <c r="A159" s="1" t="s">
        <v>623</v>
      </c>
      <c r="B159" s="21">
        <v>13</v>
      </c>
    </row>
    <row r="160" spans="1:2" x14ac:dyDescent="0.3">
      <c r="A160" s="1" t="s">
        <v>964</v>
      </c>
      <c r="B160" s="21">
        <v>10</v>
      </c>
    </row>
    <row r="161" spans="1:2" x14ac:dyDescent="0.3">
      <c r="A161" s="1" t="s">
        <v>507</v>
      </c>
      <c r="B161" s="21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36A2-6CAE-494F-A430-7DCEF40761B3}">
  <dimension ref="A3:B51"/>
  <sheetViews>
    <sheetView topLeftCell="A31" workbookViewId="0">
      <selection activeCell="A39" sqref="A39"/>
    </sheetView>
  </sheetViews>
  <sheetFormatPr defaultRowHeight="14.4" x14ac:dyDescent="0.3"/>
  <cols>
    <col min="1" max="1" width="23.6640625" bestFit="1" customWidth="1"/>
    <col min="2" max="2" width="17.44140625" bestFit="1" customWidth="1"/>
  </cols>
  <sheetData>
    <row r="3" spans="1:2" x14ac:dyDescent="0.3">
      <c r="A3" s="9" t="s">
        <v>505</v>
      </c>
      <c r="B3" t="s">
        <v>508</v>
      </c>
    </row>
    <row r="4" spans="1:2" x14ac:dyDescent="0.3">
      <c r="A4" s="1" t="s">
        <v>197</v>
      </c>
      <c r="B4" s="21">
        <v>2</v>
      </c>
    </row>
    <row r="5" spans="1:2" x14ac:dyDescent="0.3">
      <c r="A5" s="1" t="s">
        <v>76</v>
      </c>
      <c r="B5" s="21">
        <v>1</v>
      </c>
    </row>
    <row r="6" spans="1:2" x14ac:dyDescent="0.3">
      <c r="A6" s="1" t="s">
        <v>215</v>
      </c>
      <c r="B6" s="21">
        <v>4</v>
      </c>
    </row>
    <row r="7" spans="1:2" x14ac:dyDescent="0.3">
      <c r="A7" s="1" t="s">
        <v>74</v>
      </c>
      <c r="B7" s="21">
        <v>2</v>
      </c>
    </row>
    <row r="8" spans="1:2" x14ac:dyDescent="0.3">
      <c r="A8" s="1" t="s">
        <v>295</v>
      </c>
      <c r="B8" s="21">
        <v>5</v>
      </c>
    </row>
    <row r="9" spans="1:2" x14ac:dyDescent="0.3">
      <c r="A9" s="1" t="s">
        <v>26</v>
      </c>
      <c r="B9" s="21">
        <v>37</v>
      </c>
    </row>
    <row r="10" spans="1:2" x14ac:dyDescent="0.3">
      <c r="A10" s="1" t="s">
        <v>55</v>
      </c>
      <c r="B10" s="21">
        <v>4</v>
      </c>
    </row>
    <row r="11" spans="1:2" x14ac:dyDescent="0.3">
      <c r="A11" s="1" t="s">
        <v>64</v>
      </c>
      <c r="B11" s="21">
        <v>2</v>
      </c>
    </row>
    <row r="12" spans="1:2" x14ac:dyDescent="0.3">
      <c r="A12" s="1" t="s">
        <v>500</v>
      </c>
      <c r="B12" s="21">
        <v>1</v>
      </c>
    </row>
    <row r="13" spans="1:2" x14ac:dyDescent="0.3">
      <c r="A13" s="1" t="s">
        <v>141</v>
      </c>
      <c r="B13" s="21">
        <v>8</v>
      </c>
    </row>
    <row r="14" spans="1:2" x14ac:dyDescent="0.3">
      <c r="A14" s="1" t="s">
        <v>81</v>
      </c>
      <c r="B14" s="21">
        <v>2</v>
      </c>
    </row>
    <row r="15" spans="1:2" x14ac:dyDescent="0.3">
      <c r="A15" s="1" t="s">
        <v>340</v>
      </c>
      <c r="B15" s="21">
        <v>1</v>
      </c>
    </row>
    <row r="16" spans="1:2" x14ac:dyDescent="0.3">
      <c r="A16" s="1" t="s">
        <v>375</v>
      </c>
      <c r="B16" s="21">
        <v>1</v>
      </c>
    </row>
    <row r="17" spans="1:2" x14ac:dyDescent="0.3">
      <c r="A17" s="1" t="s">
        <v>270</v>
      </c>
      <c r="B17" s="21">
        <v>1</v>
      </c>
    </row>
    <row r="18" spans="1:2" x14ac:dyDescent="0.3">
      <c r="A18" s="1" t="s">
        <v>159</v>
      </c>
      <c r="B18" s="21">
        <v>11</v>
      </c>
    </row>
    <row r="19" spans="1:2" x14ac:dyDescent="0.3">
      <c r="A19" s="1" t="s">
        <v>78</v>
      </c>
      <c r="B19" s="21">
        <v>1</v>
      </c>
    </row>
    <row r="20" spans="1:2" x14ac:dyDescent="0.3">
      <c r="A20" s="1" t="s">
        <v>218</v>
      </c>
      <c r="B20" s="21">
        <v>1</v>
      </c>
    </row>
    <row r="21" spans="1:2" x14ac:dyDescent="0.3">
      <c r="A21" s="1" t="s">
        <v>161</v>
      </c>
      <c r="B21" s="21">
        <v>1</v>
      </c>
    </row>
    <row r="22" spans="1:2" x14ac:dyDescent="0.3">
      <c r="A22" s="1" t="s">
        <v>217</v>
      </c>
      <c r="B22" s="21">
        <v>16</v>
      </c>
    </row>
    <row r="23" spans="1:2" x14ac:dyDescent="0.3">
      <c r="A23" s="1" t="s">
        <v>51</v>
      </c>
      <c r="B23" s="21">
        <v>30</v>
      </c>
    </row>
    <row r="24" spans="1:2" x14ac:dyDescent="0.3">
      <c r="A24" s="1" t="s">
        <v>198</v>
      </c>
      <c r="B24" s="21">
        <v>1</v>
      </c>
    </row>
    <row r="25" spans="1:2" x14ac:dyDescent="0.3">
      <c r="A25" s="1" t="s">
        <v>43</v>
      </c>
      <c r="B25" s="21">
        <v>1</v>
      </c>
    </row>
    <row r="26" spans="1:2" x14ac:dyDescent="0.3">
      <c r="A26" s="1" t="s">
        <v>199</v>
      </c>
      <c r="B26" s="21">
        <v>1</v>
      </c>
    </row>
    <row r="27" spans="1:2" x14ac:dyDescent="0.3">
      <c r="A27" s="1" t="s">
        <v>121</v>
      </c>
      <c r="B27" s="21">
        <v>1</v>
      </c>
    </row>
    <row r="28" spans="1:2" x14ac:dyDescent="0.3">
      <c r="A28" s="1" t="s">
        <v>372</v>
      </c>
      <c r="B28" s="21">
        <v>1</v>
      </c>
    </row>
    <row r="29" spans="1:2" x14ac:dyDescent="0.3">
      <c r="A29" s="1" t="s">
        <v>175</v>
      </c>
      <c r="B29" s="21">
        <v>6</v>
      </c>
    </row>
    <row r="30" spans="1:2" x14ac:dyDescent="0.3">
      <c r="A30" s="1" t="s">
        <v>77</v>
      </c>
      <c r="B30" s="21">
        <v>1</v>
      </c>
    </row>
    <row r="31" spans="1:2" x14ac:dyDescent="0.3">
      <c r="A31" s="1" t="s">
        <v>299</v>
      </c>
      <c r="B31" s="21">
        <v>3</v>
      </c>
    </row>
    <row r="32" spans="1:2" x14ac:dyDescent="0.3">
      <c r="A32" s="1" t="s">
        <v>160</v>
      </c>
      <c r="B32" s="21">
        <v>2</v>
      </c>
    </row>
    <row r="33" spans="1:2" x14ac:dyDescent="0.3">
      <c r="A33" s="1" t="s">
        <v>71</v>
      </c>
      <c r="B33" s="21">
        <v>2</v>
      </c>
    </row>
    <row r="34" spans="1:2" x14ac:dyDescent="0.3">
      <c r="A34" s="1" t="s">
        <v>347</v>
      </c>
      <c r="B34" s="21">
        <v>5</v>
      </c>
    </row>
    <row r="35" spans="1:2" x14ac:dyDescent="0.3">
      <c r="A35" s="1" t="s">
        <v>146</v>
      </c>
      <c r="B35" s="21">
        <v>2</v>
      </c>
    </row>
    <row r="36" spans="1:2" x14ac:dyDescent="0.3">
      <c r="A36" s="1" t="s">
        <v>75</v>
      </c>
      <c r="B36" s="21">
        <v>3</v>
      </c>
    </row>
    <row r="37" spans="1:2" x14ac:dyDescent="0.3">
      <c r="A37" s="1" t="s">
        <v>73</v>
      </c>
      <c r="B37" s="21">
        <v>4</v>
      </c>
    </row>
    <row r="38" spans="1:2" x14ac:dyDescent="0.3">
      <c r="A38" s="1" t="s">
        <v>183</v>
      </c>
      <c r="B38" s="21">
        <v>5</v>
      </c>
    </row>
    <row r="39" spans="1:2" x14ac:dyDescent="0.3">
      <c r="A39" s="1" t="s">
        <v>79</v>
      </c>
      <c r="B39" s="21">
        <v>1</v>
      </c>
    </row>
    <row r="40" spans="1:2" x14ac:dyDescent="0.3">
      <c r="A40" s="1" t="s">
        <v>269</v>
      </c>
      <c r="B40" s="21">
        <v>4</v>
      </c>
    </row>
    <row r="41" spans="1:2" x14ac:dyDescent="0.3">
      <c r="A41" s="1" t="s">
        <v>53</v>
      </c>
      <c r="B41" s="21">
        <v>1</v>
      </c>
    </row>
    <row r="42" spans="1:2" x14ac:dyDescent="0.3">
      <c r="A42" s="1" t="s">
        <v>56</v>
      </c>
      <c r="B42" s="21">
        <v>10</v>
      </c>
    </row>
    <row r="43" spans="1:2" x14ac:dyDescent="0.3">
      <c r="A43" s="1" t="s">
        <v>57</v>
      </c>
      <c r="B43" s="21">
        <v>8</v>
      </c>
    </row>
    <row r="44" spans="1:2" x14ac:dyDescent="0.3">
      <c r="A44" s="1" t="s">
        <v>60</v>
      </c>
      <c r="B44" s="21">
        <v>12</v>
      </c>
    </row>
    <row r="45" spans="1:2" x14ac:dyDescent="0.3">
      <c r="A45" s="1" t="s">
        <v>200</v>
      </c>
      <c r="B45" s="21">
        <v>16</v>
      </c>
    </row>
    <row r="46" spans="1:2" x14ac:dyDescent="0.3">
      <c r="A46" s="1" t="s">
        <v>216</v>
      </c>
      <c r="B46" s="21">
        <v>3</v>
      </c>
    </row>
    <row r="47" spans="1:2" x14ac:dyDescent="0.3">
      <c r="A47" s="1" t="s">
        <v>169</v>
      </c>
      <c r="B47" s="21">
        <v>4</v>
      </c>
    </row>
    <row r="48" spans="1:2" x14ac:dyDescent="0.3">
      <c r="A48" s="1" t="s">
        <v>506</v>
      </c>
      <c r="B48" s="21">
        <v>93</v>
      </c>
    </row>
    <row r="49" spans="1:2" x14ac:dyDescent="0.3">
      <c r="A49" s="1" t="s">
        <v>921</v>
      </c>
      <c r="B49" s="21">
        <v>3</v>
      </c>
    </row>
    <row r="50" spans="1:2" x14ac:dyDescent="0.3">
      <c r="A50" s="1" t="s">
        <v>937</v>
      </c>
      <c r="B50" s="21">
        <v>1</v>
      </c>
    </row>
    <row r="51" spans="1:2" x14ac:dyDescent="0.3">
      <c r="A51" s="1" t="s">
        <v>507</v>
      </c>
      <c r="B51" s="21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F56D-CCFC-440B-9A8D-2D5FB4001DAE}">
  <dimension ref="A3:B30"/>
  <sheetViews>
    <sheetView zoomScale="80" zoomScaleNormal="80" workbookViewId="0">
      <selection activeCell="A9" sqref="A9"/>
    </sheetView>
  </sheetViews>
  <sheetFormatPr defaultRowHeight="14.4" x14ac:dyDescent="0.3"/>
  <cols>
    <col min="1" max="1" width="18.44140625" bestFit="1" customWidth="1"/>
    <col min="2" max="2" width="26.77734375" bestFit="1" customWidth="1"/>
    <col min="3" max="3" width="32.109375" bestFit="1" customWidth="1"/>
  </cols>
  <sheetData>
    <row r="3" spans="1:2" x14ac:dyDescent="0.3">
      <c r="A3" s="9" t="s">
        <v>505</v>
      </c>
      <c r="B3" t="s">
        <v>878</v>
      </c>
    </row>
    <row r="4" spans="1:2" x14ac:dyDescent="0.3">
      <c r="A4" s="1" t="s">
        <v>852</v>
      </c>
      <c r="B4" s="21"/>
    </row>
    <row r="5" spans="1:2" x14ac:dyDescent="0.3">
      <c r="A5" s="1" t="s">
        <v>853</v>
      </c>
      <c r="B5" s="21">
        <v>2</v>
      </c>
    </row>
    <row r="6" spans="1:2" x14ac:dyDescent="0.3">
      <c r="A6" s="1" t="s">
        <v>854</v>
      </c>
      <c r="B6" s="21">
        <v>3</v>
      </c>
    </row>
    <row r="7" spans="1:2" x14ac:dyDescent="0.3">
      <c r="A7" s="1" t="s">
        <v>855</v>
      </c>
      <c r="B7" s="21">
        <v>3</v>
      </c>
    </row>
    <row r="8" spans="1:2" x14ac:dyDescent="0.3">
      <c r="A8" s="1" t="s">
        <v>856</v>
      </c>
      <c r="B8" s="21">
        <v>2</v>
      </c>
    </row>
    <row r="9" spans="1:2" x14ac:dyDescent="0.3">
      <c r="A9" s="1" t="s">
        <v>857</v>
      </c>
      <c r="B9" s="21">
        <v>3</v>
      </c>
    </row>
    <row r="10" spans="1:2" x14ac:dyDescent="0.3">
      <c r="A10" s="1" t="s">
        <v>858</v>
      </c>
      <c r="B10" s="21">
        <v>2</v>
      </c>
    </row>
    <row r="11" spans="1:2" x14ac:dyDescent="0.3">
      <c r="A11" s="1" t="s">
        <v>859</v>
      </c>
      <c r="B11" s="21">
        <v>5</v>
      </c>
    </row>
    <row r="12" spans="1:2" x14ac:dyDescent="0.3">
      <c r="A12" s="1" t="s">
        <v>860</v>
      </c>
      <c r="B12" s="21">
        <v>14</v>
      </c>
    </row>
    <row r="13" spans="1:2" x14ac:dyDescent="0.3">
      <c r="A13" s="1" t="s">
        <v>861</v>
      </c>
      <c r="B13" s="21">
        <v>3</v>
      </c>
    </row>
    <row r="14" spans="1:2" x14ac:dyDescent="0.3">
      <c r="A14" s="1" t="s">
        <v>862</v>
      </c>
      <c r="B14" s="21">
        <v>5</v>
      </c>
    </row>
    <row r="15" spans="1:2" x14ac:dyDescent="0.3">
      <c r="A15" s="1" t="s">
        <v>863</v>
      </c>
      <c r="B15" s="21">
        <v>6</v>
      </c>
    </row>
    <row r="16" spans="1:2" x14ac:dyDescent="0.3">
      <c r="A16" s="1" t="s">
        <v>864</v>
      </c>
      <c r="B16" s="21">
        <v>14</v>
      </c>
    </row>
    <row r="17" spans="1:2" x14ac:dyDescent="0.3">
      <c r="A17" s="1" t="s">
        <v>865</v>
      </c>
      <c r="B17" s="21">
        <v>5</v>
      </c>
    </row>
    <row r="18" spans="1:2" x14ac:dyDescent="0.3">
      <c r="A18" s="1" t="s">
        <v>866</v>
      </c>
      <c r="B18" s="21">
        <v>4</v>
      </c>
    </row>
    <row r="19" spans="1:2" x14ac:dyDescent="0.3">
      <c r="A19" s="1" t="s">
        <v>867</v>
      </c>
      <c r="B19" s="21">
        <v>3</v>
      </c>
    </row>
    <row r="20" spans="1:2" x14ac:dyDescent="0.3">
      <c r="A20" s="1" t="s">
        <v>868</v>
      </c>
      <c r="B20" s="21">
        <v>5</v>
      </c>
    </row>
    <row r="21" spans="1:2" x14ac:dyDescent="0.3">
      <c r="A21" s="1" t="s">
        <v>869</v>
      </c>
      <c r="B21" s="21">
        <v>13</v>
      </c>
    </row>
    <row r="22" spans="1:2" x14ac:dyDescent="0.3">
      <c r="A22" s="1" t="s">
        <v>870</v>
      </c>
      <c r="B22" s="21">
        <v>21</v>
      </c>
    </row>
    <row r="23" spans="1:2" x14ac:dyDescent="0.3">
      <c r="A23" s="1" t="s">
        <v>871</v>
      </c>
      <c r="B23" s="21">
        <v>12</v>
      </c>
    </row>
    <row r="24" spans="1:2" x14ac:dyDescent="0.3">
      <c r="A24" s="1" t="s">
        <v>872</v>
      </c>
      <c r="B24" s="21">
        <v>35</v>
      </c>
    </row>
    <row r="25" spans="1:2" x14ac:dyDescent="0.3">
      <c r="A25" s="1" t="s">
        <v>873</v>
      </c>
      <c r="B25" s="21">
        <v>20</v>
      </c>
    </row>
    <row r="26" spans="1:2" x14ac:dyDescent="0.3">
      <c r="A26" s="1" t="s">
        <v>874</v>
      </c>
      <c r="B26" s="21">
        <v>12</v>
      </c>
    </row>
    <row r="27" spans="1:2" x14ac:dyDescent="0.3">
      <c r="A27" s="1" t="s">
        <v>875</v>
      </c>
      <c r="B27" s="21">
        <v>19</v>
      </c>
    </row>
    <row r="28" spans="1:2" x14ac:dyDescent="0.3">
      <c r="A28" s="1" t="s">
        <v>876</v>
      </c>
      <c r="B28" s="21">
        <v>35</v>
      </c>
    </row>
    <row r="29" spans="1:2" x14ac:dyDescent="0.3">
      <c r="A29" s="1" t="s">
        <v>877</v>
      </c>
      <c r="B29" s="21">
        <v>28</v>
      </c>
    </row>
    <row r="30" spans="1:2" x14ac:dyDescent="0.3">
      <c r="A30" s="1" t="s">
        <v>507</v>
      </c>
      <c r="B30" s="21">
        <v>274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3BDC-3690-49CC-BA43-382FE3CBA0C4}">
  <dimension ref="A1:A14"/>
  <sheetViews>
    <sheetView workbookViewId="0">
      <selection activeCell="A9" sqref="A9"/>
    </sheetView>
  </sheetViews>
  <sheetFormatPr defaultRowHeight="14.4" x14ac:dyDescent="0.3"/>
  <cols>
    <col min="1" max="1" width="26.6640625" customWidth="1"/>
  </cols>
  <sheetData>
    <row r="1" spans="1:1" x14ac:dyDescent="0.3">
      <c r="A1" t="s">
        <v>0</v>
      </c>
    </row>
    <row r="3" spans="1:1" x14ac:dyDescent="0.3">
      <c r="A3" t="s">
        <v>515</v>
      </c>
    </row>
    <row r="4" spans="1:1" x14ac:dyDescent="0.3">
      <c r="A4" t="s">
        <v>512</v>
      </c>
    </row>
    <row r="5" spans="1:1" x14ac:dyDescent="0.3">
      <c r="A5" t="s">
        <v>513</v>
      </c>
    </row>
    <row r="6" spans="1:1" x14ac:dyDescent="0.3">
      <c r="A6" t="s">
        <v>511</v>
      </c>
    </row>
    <row r="7" spans="1:1" x14ac:dyDescent="0.3">
      <c r="A7" t="s">
        <v>514</v>
      </c>
    </row>
    <row r="8" spans="1:1" x14ac:dyDescent="0.3">
      <c r="A8" t="s">
        <v>516</v>
      </c>
    </row>
    <row r="9" spans="1:1" x14ac:dyDescent="0.3">
      <c r="A9" t="s">
        <v>517</v>
      </c>
    </row>
    <row r="10" spans="1:1" x14ac:dyDescent="0.3">
      <c r="A10" t="s">
        <v>518</v>
      </c>
    </row>
    <row r="11" spans="1:1" x14ac:dyDescent="0.3">
      <c r="A11" t="s">
        <v>519</v>
      </c>
    </row>
    <row r="12" spans="1:1" x14ac:dyDescent="0.3">
      <c r="A12" t="s">
        <v>520</v>
      </c>
    </row>
    <row r="13" spans="1:1" x14ac:dyDescent="0.3">
      <c r="A13" t="s">
        <v>522</v>
      </c>
    </row>
    <row r="14" spans="1:1" x14ac:dyDescent="0.3">
      <c r="A14" t="s">
        <v>525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Livros na Estante</vt:lpstr>
      <vt:lpstr>Lidos</vt:lpstr>
      <vt:lpstr>Estatisticas de Leitura</vt:lpstr>
      <vt:lpstr>Ano compra</vt:lpstr>
      <vt:lpstr>Autores</vt:lpstr>
      <vt:lpstr>Editora</vt:lpstr>
      <vt:lpstr>Lidos Ano</vt:lpstr>
      <vt:lpstr>Séries Incompletas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HELLEN ALMEIDA DE OLIVEIRA</dc:creator>
  <cp:lastModifiedBy>Hellen Almeida</cp:lastModifiedBy>
  <dcterms:created xsi:type="dcterms:W3CDTF">2026-05-13T00:29:20Z</dcterms:created>
  <dcterms:modified xsi:type="dcterms:W3CDTF">2026-08-03T04:21:07Z</dcterms:modified>
</cp:coreProperties>
</file>